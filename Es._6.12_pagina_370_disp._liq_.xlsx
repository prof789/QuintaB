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/>
  <mc:AlternateContent xmlns:mc="http://schemas.openxmlformats.org/markup-compatibility/2006">
    <mc:Choice Requires="x15">
      <x15ac:absPath xmlns:x15ac="http://schemas.microsoft.com/office/spreadsheetml/2010/11/ac" url="C:\Users\165lu\Desktop\Scuola\Materiale Economia Aziendale\5. Classe quinta\1. Rendiconto finanziario\"/>
    </mc:Choice>
  </mc:AlternateContent>
  <xr:revisionPtr revIDLastSave="0" documentId="13_ncr:1_{6AFBEB44-D332-4C98-BFFD-691B111D249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P riclassificato dati" sheetId="8" r:id="rId1"/>
    <sheet name="S.P. Riclassificato" sheetId="1" r:id="rId2"/>
    <sheet name="Debiti funzionam - finanziam" sheetId="7" r:id="rId3"/>
    <sheet name="Rendiconto finanziario D.L.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2" i="6" l="1"/>
  <c r="D10" i="6"/>
  <c r="D8" i="6"/>
  <c r="H4" i="1"/>
  <c r="G4" i="1"/>
  <c r="D4" i="1"/>
  <c r="C4" i="1"/>
  <c r="H8" i="8"/>
  <c r="D8" i="8"/>
  <c r="C8" i="8"/>
  <c r="D27" i="6"/>
  <c r="D25" i="6"/>
  <c r="D23" i="6"/>
  <c r="D19" i="6"/>
  <c r="D16" i="6"/>
  <c r="C7" i="7"/>
  <c r="D11" i="6" s="1"/>
  <c r="E4" i="7"/>
  <c r="E5" i="7"/>
  <c r="E6" i="7"/>
  <c r="E3" i="7"/>
  <c r="D7" i="7"/>
  <c r="G8" i="8"/>
  <c r="L3" i="8"/>
  <c r="K3" i="8"/>
  <c r="H10" i="6"/>
  <c r="H11" i="6"/>
  <c r="G11" i="6"/>
  <c r="G10" i="6"/>
  <c r="D3" i="6"/>
  <c r="E7" i="7" l="1"/>
  <c r="H19" i="8"/>
  <c r="H6" i="1" s="1"/>
  <c r="G5" i="1"/>
  <c r="G8" i="1"/>
  <c r="D13" i="8"/>
  <c r="D7" i="1" s="1"/>
  <c r="C13" i="8"/>
  <c r="C7" i="1" s="1"/>
  <c r="D9" i="6" s="1"/>
  <c r="D19" i="8"/>
  <c r="D9" i="1" s="1"/>
  <c r="H8" i="1"/>
  <c r="H5" i="1"/>
  <c r="G19" i="8"/>
  <c r="G6" i="1" s="1"/>
  <c r="H3" i="8"/>
  <c r="D10" i="1" s="1"/>
  <c r="G3" i="8"/>
  <c r="C10" i="1" s="1"/>
  <c r="C19" i="8"/>
  <c r="C9" i="1" s="1"/>
  <c r="D6" i="1"/>
  <c r="C6" i="1"/>
  <c r="D3" i="8"/>
  <c r="D5" i="1" s="1"/>
  <c r="C3" i="8"/>
  <c r="C5" i="1" s="1"/>
  <c r="H12" i="6"/>
  <c r="H15" i="6" s="1"/>
  <c r="G12" i="6"/>
  <c r="I11" i="6"/>
  <c r="I10" i="6"/>
  <c r="I12" i="6" l="1"/>
  <c r="G7" i="1"/>
  <c r="H7" i="1"/>
  <c r="C8" i="1"/>
  <c r="D8" i="1"/>
  <c r="D13" i="6" l="1"/>
  <c r="D12" i="1"/>
  <c r="H10" i="1"/>
  <c r="C12" i="1"/>
  <c r="G10" i="1"/>
  <c r="H16" i="6" l="1"/>
  <c r="H17" i="6"/>
  <c r="H18" i="6"/>
  <c r="H19" i="6" l="1"/>
</calcChain>
</file>

<file path=xl/sharedStrings.xml><?xml version="1.0" encoding="utf-8"?>
<sst xmlns="http://schemas.openxmlformats.org/spreadsheetml/2006/main" count="122" uniqueCount="80">
  <si>
    <t>IMPIEGHI</t>
  </si>
  <si>
    <t>FONTI</t>
  </si>
  <si>
    <t>Attivo corrente</t>
  </si>
  <si>
    <t>Disponibilità liquide</t>
  </si>
  <si>
    <t>Rimanenze</t>
  </si>
  <si>
    <t>Attivo immobilizzato</t>
  </si>
  <si>
    <t>Immobilizzazioni materiali</t>
  </si>
  <si>
    <t>Immobilizzazioni immateriali</t>
  </si>
  <si>
    <t>Immobilizzazioni finanziarie</t>
  </si>
  <si>
    <t>TOTALE IMPIEGHI</t>
  </si>
  <si>
    <t>Debiti a breve scadenza</t>
  </si>
  <si>
    <t>Debiti a M.L. scadenza</t>
  </si>
  <si>
    <t>Capitale di debito</t>
  </si>
  <si>
    <t>Patrimonio netto</t>
  </si>
  <si>
    <t>Capitale proprio</t>
  </si>
  <si>
    <t>TOTALE FONTI</t>
  </si>
  <si>
    <t>31/12/N</t>
  </si>
  <si>
    <t>31/12/N+1</t>
  </si>
  <si>
    <t>Reddito d'esercizio</t>
  </si>
  <si>
    <t>Debiti v/ banche</t>
  </si>
  <si>
    <t>Debiti v/ fornitori</t>
  </si>
  <si>
    <t>Debiti tributari</t>
  </si>
  <si>
    <t>Ratei e risconti passivi</t>
  </si>
  <si>
    <t>SP RICLASSIFICATO SECONDO I CRITERI FINANZIARI</t>
  </si>
  <si>
    <t>Utile d'esercizio</t>
  </si>
  <si>
    <t>Ratei e risconti attivi</t>
  </si>
  <si>
    <t>Disponibilità finanziarie</t>
  </si>
  <si>
    <t>FLUSSO FINANZIARIO DELL'ATTIVITA' OPERATIVA</t>
  </si>
  <si>
    <t>31/12/N-1</t>
  </si>
  <si>
    <t xml:space="preserve"> - Aumento crediti a breve</t>
  </si>
  <si>
    <t>TOTALE FLUSSO FINANZIARIO ATTIVITA' OPERATIVA</t>
  </si>
  <si>
    <t>FLUSSO FINANZIARIO ATTIVITA' DI INVESTIMENTO</t>
  </si>
  <si>
    <t>Debiti di funzionamento</t>
  </si>
  <si>
    <t>Debiti di finanziamento</t>
  </si>
  <si>
    <t>Obbligazioni</t>
  </si>
  <si>
    <t>+ Aumento debiti funzionamento</t>
  </si>
  <si>
    <t>FLUSSO FINANZIARIO ATTIVITA' DI FINANZIAMENTO</t>
  </si>
  <si>
    <t>Depositi bancari e postali</t>
  </si>
  <si>
    <t>Denaro in banca</t>
  </si>
  <si>
    <t>N</t>
  </si>
  <si>
    <t>N-1</t>
  </si>
  <si>
    <t>Var.</t>
  </si>
  <si>
    <t>Disponibilità liquide al 31/12/N-1</t>
  </si>
  <si>
    <t>Flusso attività operativa</t>
  </si>
  <si>
    <t>Flusso attività investimento</t>
  </si>
  <si>
    <t>Flusso attività finanziamento</t>
  </si>
  <si>
    <t>Disponibilità liquide al 31/12/N</t>
  </si>
  <si>
    <t>Denaro e valori in cassa</t>
  </si>
  <si>
    <t>Prodotti finiti e merci</t>
  </si>
  <si>
    <t>Terreni e fabbricati</t>
  </si>
  <si>
    <t>Impianti e macchinari</t>
  </si>
  <si>
    <t>Altri beni</t>
  </si>
  <si>
    <t>Riserva legale</t>
  </si>
  <si>
    <t>Altre riserve</t>
  </si>
  <si>
    <t>Altri debiti</t>
  </si>
  <si>
    <t xml:space="preserve"> + Aumento rimanenze</t>
  </si>
  <si>
    <t>TOTALE DEBITI DI FUNZIONAMENTO</t>
  </si>
  <si>
    <t>Costi di impianto e di ampliamento</t>
  </si>
  <si>
    <t>Diritti di brevetto industr, ecc..</t>
  </si>
  <si>
    <t>Attrezzature industriali</t>
  </si>
  <si>
    <t>Materie prime</t>
  </si>
  <si>
    <t>Crediti v/ clienti</t>
  </si>
  <si>
    <t>Depositi bancari</t>
  </si>
  <si>
    <t xml:space="preserve">Capitale  </t>
  </si>
  <si>
    <t>Riserva soprapprezzo azioni</t>
  </si>
  <si>
    <t>Fondo manutenzioni programmate</t>
  </si>
  <si>
    <t>Debiti v/banche</t>
  </si>
  <si>
    <t>Debiti v/ istituti previdenziali</t>
  </si>
  <si>
    <t>Altri ricavi e proventi (plusvalenze)</t>
  </si>
  <si>
    <t>(Ricavo non monetario)</t>
  </si>
  <si>
    <t>Ammortamenti e svalutazioni imm. mat.</t>
  </si>
  <si>
    <t>Ammortamenti e svalutazioni imm. immat.</t>
  </si>
  <si>
    <t>(Costo non monetario)</t>
  </si>
  <si>
    <t>Altri accantonamenti</t>
  </si>
  <si>
    <t>Acquisto imm. materiali</t>
  </si>
  <si>
    <t>Vendita imm. materiali</t>
  </si>
  <si>
    <t>Costruzioni in economia (diritti brevetto)</t>
  </si>
  <si>
    <t>Dividendi</t>
  </si>
  <si>
    <t>Aumento di capitale</t>
  </si>
  <si>
    <t>Pagamento costi impianto (x aumento capitale)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</si>
</sst>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5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52">
    <xf numFmtId="0" fontId="0" fillId="0" borderId="0" xfId="0"/>
    <xf numFmtId="0" fontId="2" fillId="0" borderId="0" xfId="0" applyFont="1"/>
    <xf numFmtId="0" fontId="3" fillId="0" borderId="2" xfId="0" applyFont="1" applyBorder="1"/>
    <xf numFmtId="0" fontId="2" fillId="0" borderId="2" xfId="0" applyFont="1" applyBorder="1"/>
    <xf numFmtId="0" fontId="2" fillId="0" borderId="4" xfId="0" applyFont="1" applyBorder="1"/>
    <xf numFmtId="0" fontId="1" fillId="0" borderId="6" xfId="0" applyFont="1" applyBorder="1" applyAlignment="1">
      <alignment horizontal="center"/>
    </xf>
    <xf numFmtId="0" fontId="1" fillId="0" borderId="6" xfId="0" applyFont="1" applyBorder="1"/>
    <xf numFmtId="0" fontId="1" fillId="0" borderId="7" xfId="0" applyFont="1" applyBorder="1"/>
    <xf numFmtId="0" fontId="1" fillId="0" borderId="10" xfId="0" applyFont="1" applyBorder="1"/>
    <xf numFmtId="164" fontId="2" fillId="0" borderId="3" xfId="1" applyNumberFormat="1" applyFont="1" applyBorder="1"/>
    <xf numFmtId="164" fontId="2" fillId="0" borderId="8" xfId="1" applyNumberFormat="1" applyFont="1" applyBorder="1"/>
    <xf numFmtId="164" fontId="2" fillId="0" borderId="0" xfId="1" applyNumberFormat="1" applyFont="1"/>
    <xf numFmtId="164" fontId="2" fillId="0" borderId="1" xfId="1" applyNumberFormat="1" applyFont="1" applyBorder="1"/>
    <xf numFmtId="164" fontId="3" fillId="0" borderId="3" xfId="1" applyNumberFormat="1" applyFont="1" applyBorder="1"/>
    <xf numFmtId="164" fontId="2" fillId="0" borderId="5" xfId="1" applyNumberFormat="1" applyFont="1" applyBorder="1"/>
    <xf numFmtId="164" fontId="2" fillId="0" borderId="11" xfId="1" applyNumberFormat="1" applyFont="1" applyBorder="1"/>
    <xf numFmtId="164" fontId="3" fillId="0" borderId="2" xfId="1" applyNumberFormat="1" applyFont="1" applyBorder="1"/>
    <xf numFmtId="164" fontId="1" fillId="0" borderId="5" xfId="1" applyNumberFormat="1" applyFont="1" applyBorder="1"/>
    <xf numFmtId="164" fontId="1" fillId="0" borderId="3" xfId="1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164" fontId="1" fillId="0" borderId="10" xfId="1" applyNumberFormat="1" applyFont="1" applyBorder="1"/>
    <xf numFmtId="0" fontId="2" fillId="0" borderId="12" xfId="0" applyFont="1" applyBorder="1"/>
    <xf numFmtId="164" fontId="3" fillId="0" borderId="8" xfId="1" applyNumberFormat="1" applyFont="1" applyBorder="1"/>
    <xf numFmtId="0" fontId="3" fillId="0" borderId="12" xfId="0" applyFont="1" applyBorder="1"/>
    <xf numFmtId="164" fontId="3" fillId="0" borderId="1" xfId="1" applyNumberFormat="1" applyFont="1" applyBorder="1"/>
    <xf numFmtId="164" fontId="2" fillId="0" borderId="2" xfId="1" quotePrefix="1" applyNumberFormat="1" applyFont="1" applyBorder="1"/>
    <xf numFmtId="0" fontId="2" fillId="0" borderId="2" xfId="0" quotePrefix="1" applyFont="1" applyBorder="1"/>
    <xf numFmtId="0" fontId="2" fillId="0" borderId="4" xfId="0" quotePrefix="1" applyFont="1" applyBorder="1"/>
    <xf numFmtId="0" fontId="1" fillId="3" borderId="6" xfId="0" applyFont="1" applyFill="1" applyBorder="1"/>
    <xf numFmtId="164" fontId="1" fillId="3" borderId="7" xfId="1" applyNumberFormat="1" applyFont="1" applyFill="1" applyBorder="1"/>
    <xf numFmtId="164" fontId="3" fillId="0" borderId="9" xfId="1" applyNumberFormat="1" applyFont="1" applyBorder="1"/>
    <xf numFmtId="164" fontId="1" fillId="0" borderId="11" xfId="1" applyNumberFormat="1" applyFont="1" applyBorder="1"/>
    <xf numFmtId="0" fontId="2" fillId="0" borderId="6" xfId="0" applyFont="1" applyBorder="1"/>
    <xf numFmtId="0" fontId="1" fillId="0" borderId="4" xfId="0" applyFont="1" applyBorder="1"/>
    <xf numFmtId="164" fontId="2" fillId="0" borderId="7" xfId="1" applyNumberFormat="1" applyFont="1" applyBorder="1"/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164" fontId="2" fillId="0" borderId="10" xfId="0" applyNumberFormat="1" applyFont="1" applyBorder="1"/>
    <xf numFmtId="164" fontId="1" fillId="4" borderId="5" xfId="1" applyNumberFormat="1" applyFont="1" applyFill="1" applyBorder="1"/>
    <xf numFmtId="164" fontId="1" fillId="4" borderId="10" xfId="0" applyNumberFormat="1" applyFont="1" applyFill="1" applyBorder="1"/>
    <xf numFmtId="164" fontId="1" fillId="5" borderId="11" xfId="1" applyNumberFormat="1" applyFont="1" applyFill="1" applyBorder="1"/>
    <xf numFmtId="164" fontId="2" fillId="0" borderId="10" xfId="1" applyNumberFormat="1" applyFont="1" applyBorder="1" applyAlignment="1">
      <alignment horizontal="center"/>
    </xf>
    <xf numFmtId="164" fontId="2" fillId="0" borderId="9" xfId="1" applyNumberFormat="1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2" fillId="0" borderId="8" xfId="0" applyFont="1" applyBorder="1"/>
    <xf numFmtId="0" fontId="2" fillId="0" borderId="3" xfId="0" applyFont="1" applyBorder="1"/>
    <xf numFmtId="0" fontId="2" fillId="2" borderId="0" xfId="0" applyFont="1" applyFill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2" fillId="0" borderId="10" xfId="0" applyFont="1" applyBorder="1" applyAlignment="1">
      <alignment horizontal="center"/>
    </xf>
  </cellXfs>
  <cellStyles count="2">
    <cellStyle name="Migliaia" xfId="1" builtinId="3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90F80-9B1D-4D32-B135-0F1FC8EA885C}">
  <dimension ref="B2:L23"/>
  <sheetViews>
    <sheetView tabSelected="1" workbookViewId="0">
      <selection activeCell="J13" sqref="J13"/>
    </sheetView>
  </sheetViews>
  <sheetFormatPr defaultRowHeight="18" x14ac:dyDescent="0.35"/>
  <cols>
    <col min="1" max="1" width="4.33203125" style="11" customWidth="1"/>
    <col min="2" max="2" width="42" style="11" bestFit="1" customWidth="1"/>
    <col min="3" max="4" width="14.6640625" style="11" bestFit="1" customWidth="1"/>
    <col min="5" max="5" width="3.5546875" style="11" customWidth="1"/>
    <col min="6" max="6" width="39.109375" style="11" bestFit="1" customWidth="1"/>
    <col min="7" max="8" width="13.33203125" style="11" bestFit="1" customWidth="1"/>
    <col min="9" max="9" width="4.88671875" style="11" customWidth="1"/>
    <col min="10" max="10" width="29.88671875" style="11" bestFit="1" customWidth="1"/>
    <col min="11" max="11" width="14.6640625" style="11" bestFit="1" customWidth="1"/>
    <col min="12" max="12" width="13.33203125" style="11" bestFit="1" customWidth="1"/>
    <col min="13" max="16384" width="8.88671875" style="11"/>
  </cols>
  <sheetData>
    <row r="2" spans="2:12" x14ac:dyDescent="0.35">
      <c r="C2" s="42" t="s">
        <v>39</v>
      </c>
      <c r="D2" s="42" t="s">
        <v>40</v>
      </c>
      <c r="G2" s="43" t="s">
        <v>39</v>
      </c>
      <c r="H2" s="43" t="s">
        <v>40</v>
      </c>
      <c r="K2" s="43" t="s">
        <v>39</v>
      </c>
      <c r="L2" s="43" t="s">
        <v>40</v>
      </c>
    </row>
    <row r="3" spans="2:12" x14ac:dyDescent="0.35">
      <c r="B3" s="21" t="s">
        <v>3</v>
      </c>
      <c r="C3" s="21">
        <f>+C4+C5</f>
        <v>671883</v>
      </c>
      <c r="D3" s="21">
        <f>+D4+D5</f>
        <v>243883</v>
      </c>
      <c r="F3" s="21" t="s">
        <v>7</v>
      </c>
      <c r="G3" s="21">
        <f>+G4+G5</f>
        <v>500000</v>
      </c>
      <c r="H3" s="21">
        <f>+H4+H5</f>
        <v>144000</v>
      </c>
      <c r="J3" s="21" t="s">
        <v>14</v>
      </c>
      <c r="K3" s="21">
        <f>SUM(K4:K8)</f>
        <v>9646500</v>
      </c>
      <c r="L3" s="21">
        <f>SUM(L4:L8)</f>
        <v>7950000</v>
      </c>
    </row>
    <row r="4" spans="2:12" x14ac:dyDescent="0.35">
      <c r="B4" s="20" t="s">
        <v>62</v>
      </c>
      <c r="C4" s="20">
        <v>572050</v>
      </c>
      <c r="D4" s="42">
        <v>198000</v>
      </c>
      <c r="F4" s="20" t="s">
        <v>57</v>
      </c>
      <c r="G4" s="20">
        <v>180000</v>
      </c>
      <c r="H4" s="20"/>
      <c r="J4" s="20" t="s">
        <v>63</v>
      </c>
      <c r="K4" s="20">
        <v>7500000</v>
      </c>
      <c r="L4" s="20">
        <v>6000000</v>
      </c>
    </row>
    <row r="5" spans="2:12" x14ac:dyDescent="0.35">
      <c r="B5" s="20" t="s">
        <v>47</v>
      </c>
      <c r="C5" s="20">
        <v>99833</v>
      </c>
      <c r="D5" s="20">
        <v>45883</v>
      </c>
      <c r="F5" s="20" t="s">
        <v>58</v>
      </c>
      <c r="G5" s="20">
        <v>320000</v>
      </c>
      <c r="H5" s="20">
        <v>144000</v>
      </c>
      <c r="J5" s="20" t="s">
        <v>64</v>
      </c>
      <c r="K5" s="20">
        <v>142500</v>
      </c>
    </row>
    <row r="6" spans="2:12" x14ac:dyDescent="0.35">
      <c r="J6" s="20" t="s">
        <v>52</v>
      </c>
      <c r="K6" s="11">
        <v>1322700</v>
      </c>
      <c r="L6" s="20">
        <v>1275000</v>
      </c>
    </row>
    <row r="7" spans="2:12" x14ac:dyDescent="0.35">
      <c r="C7" s="43" t="s">
        <v>39</v>
      </c>
      <c r="D7" s="43" t="s">
        <v>40</v>
      </c>
      <c r="G7" s="43" t="s">
        <v>39</v>
      </c>
      <c r="H7" s="43" t="s">
        <v>40</v>
      </c>
      <c r="J7" s="20" t="s">
        <v>53</v>
      </c>
      <c r="K7" s="20">
        <v>681300</v>
      </c>
      <c r="L7" s="20">
        <v>675000</v>
      </c>
    </row>
    <row r="8" spans="2:12" x14ac:dyDescent="0.35">
      <c r="B8" s="21" t="s">
        <v>26</v>
      </c>
      <c r="C8" s="21">
        <f>+C10+C9</f>
        <v>2794500</v>
      </c>
      <c r="D8" s="21">
        <f>+D10+D9</f>
        <v>2022000</v>
      </c>
      <c r="F8" s="8" t="s">
        <v>10</v>
      </c>
      <c r="G8" s="21">
        <f>SUM(G9:G16)</f>
        <v>3589783</v>
      </c>
      <c r="H8" s="21">
        <f>SUM(H9:H16)</f>
        <v>4541383</v>
      </c>
    </row>
    <row r="9" spans="2:12" x14ac:dyDescent="0.35">
      <c r="B9" s="20" t="s">
        <v>61</v>
      </c>
      <c r="C9" s="20">
        <v>2587500</v>
      </c>
      <c r="D9" s="20">
        <v>1815000</v>
      </c>
      <c r="F9" s="19" t="s">
        <v>66</v>
      </c>
      <c r="G9" s="20">
        <v>453000</v>
      </c>
      <c r="H9" s="20">
        <v>723000</v>
      </c>
    </row>
    <row r="10" spans="2:12" x14ac:dyDescent="0.35">
      <c r="B10" s="20" t="s">
        <v>25</v>
      </c>
      <c r="C10" s="20">
        <v>207000</v>
      </c>
      <c r="D10" s="20">
        <v>207000</v>
      </c>
      <c r="F10" s="19" t="s">
        <v>20</v>
      </c>
      <c r="G10" s="20">
        <v>1687500</v>
      </c>
      <c r="H10" s="20">
        <v>2070000</v>
      </c>
    </row>
    <row r="11" spans="2:12" x14ac:dyDescent="0.35">
      <c r="F11" s="19" t="s">
        <v>21</v>
      </c>
      <c r="G11" s="20">
        <v>635400</v>
      </c>
      <c r="H11" s="20">
        <v>630000</v>
      </c>
    </row>
    <row r="12" spans="2:12" x14ac:dyDescent="0.35">
      <c r="C12" s="43" t="s">
        <v>39</v>
      </c>
      <c r="D12" s="43" t="s">
        <v>40</v>
      </c>
      <c r="F12" s="19" t="s">
        <v>67</v>
      </c>
      <c r="G12" s="20">
        <v>723000</v>
      </c>
      <c r="H12" s="20">
        <v>1027500</v>
      </c>
    </row>
    <row r="13" spans="2:12" x14ac:dyDescent="0.35">
      <c r="B13" s="21" t="s">
        <v>4</v>
      </c>
      <c r="C13" s="21">
        <f>+C14+C15+C16</f>
        <v>2602500</v>
      </c>
      <c r="D13" s="21">
        <f>+D14+D15+D16</f>
        <v>2445000</v>
      </c>
      <c r="F13" s="19" t="s">
        <v>54</v>
      </c>
      <c r="G13" s="20">
        <v>34479</v>
      </c>
      <c r="H13" s="20">
        <v>34479</v>
      </c>
    </row>
    <row r="14" spans="2:12" x14ac:dyDescent="0.35">
      <c r="B14" s="20" t="s">
        <v>60</v>
      </c>
      <c r="C14" s="20">
        <v>1380000</v>
      </c>
      <c r="D14" s="20">
        <v>1275000</v>
      </c>
      <c r="F14" s="19" t="s">
        <v>22</v>
      </c>
      <c r="G14" s="10">
        <v>56404</v>
      </c>
      <c r="H14" s="9">
        <v>56404</v>
      </c>
    </row>
    <row r="15" spans="2:12" x14ac:dyDescent="0.35">
      <c r="B15" s="20" t="s">
        <v>48</v>
      </c>
      <c r="C15" s="20">
        <v>1222500</v>
      </c>
      <c r="D15" s="20">
        <v>1170000</v>
      </c>
      <c r="F15" s="19"/>
      <c r="G15" s="20"/>
      <c r="H15" s="20"/>
    </row>
    <row r="16" spans="2:12" x14ac:dyDescent="0.35">
      <c r="B16" s="20"/>
      <c r="C16" s="20"/>
      <c r="D16" s="20"/>
      <c r="F16" s="19"/>
      <c r="G16" s="20"/>
      <c r="H16" s="20"/>
    </row>
    <row r="18" spans="2:8" x14ac:dyDescent="0.35">
      <c r="C18" s="43" t="s">
        <v>39</v>
      </c>
      <c r="D18" s="43" t="s">
        <v>40</v>
      </c>
      <c r="G18" s="43" t="s">
        <v>39</v>
      </c>
      <c r="H18" s="43" t="s">
        <v>40</v>
      </c>
    </row>
    <row r="19" spans="2:8" x14ac:dyDescent="0.35">
      <c r="B19" s="21" t="s">
        <v>6</v>
      </c>
      <c r="C19" s="21">
        <f>+C20+C22+C21+C23</f>
        <v>10799000</v>
      </c>
      <c r="D19" s="21">
        <f>+D20+D22+D21+D23</f>
        <v>11560500</v>
      </c>
      <c r="F19" s="8" t="s">
        <v>11</v>
      </c>
      <c r="G19" s="21">
        <f>+G21+G22+G20</f>
        <v>3000000</v>
      </c>
      <c r="H19" s="21">
        <f>+H21+H22+H20</f>
        <v>2970000</v>
      </c>
    </row>
    <row r="20" spans="2:8" x14ac:dyDescent="0.35">
      <c r="B20" s="20" t="s">
        <v>49</v>
      </c>
      <c r="C20" s="20">
        <v>4095000</v>
      </c>
      <c r="D20" s="20">
        <v>4315500</v>
      </c>
      <c r="F20" s="20" t="s">
        <v>65</v>
      </c>
      <c r="G20" s="20">
        <v>750000</v>
      </c>
      <c r="H20" s="20">
        <v>720000</v>
      </c>
    </row>
    <row r="21" spans="2:8" x14ac:dyDescent="0.35">
      <c r="B21" s="20" t="s">
        <v>50</v>
      </c>
      <c r="C21" s="20">
        <v>4245000</v>
      </c>
      <c r="D21" s="20">
        <v>4785000</v>
      </c>
      <c r="F21" s="20" t="s">
        <v>34</v>
      </c>
      <c r="G21" s="20">
        <v>2250000</v>
      </c>
      <c r="H21" s="20">
        <v>2250000</v>
      </c>
    </row>
    <row r="22" spans="2:8" x14ac:dyDescent="0.35">
      <c r="B22" s="20" t="s">
        <v>59</v>
      </c>
      <c r="C22" s="20">
        <v>1971000</v>
      </c>
      <c r="D22" s="20">
        <v>2028000</v>
      </c>
      <c r="F22" s="20"/>
      <c r="G22" s="20"/>
      <c r="H22" s="20"/>
    </row>
    <row r="23" spans="2:8" x14ac:dyDescent="0.35">
      <c r="B23" s="20" t="s">
        <v>51</v>
      </c>
      <c r="C23" s="20">
        <v>488000</v>
      </c>
      <c r="D23" s="20">
        <v>432000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12"/>
  <sheetViews>
    <sheetView topLeftCell="A2" workbookViewId="0">
      <selection activeCell="C6" sqref="C6"/>
    </sheetView>
  </sheetViews>
  <sheetFormatPr defaultRowHeight="18" x14ac:dyDescent="0.35"/>
  <cols>
    <col min="1" max="1" width="8.88671875" style="1"/>
    <col min="2" max="2" width="31.6640625" style="1" customWidth="1"/>
    <col min="3" max="4" width="14.6640625" style="1" bestFit="1" customWidth="1"/>
    <col min="5" max="5" width="7.88671875" style="1" customWidth="1"/>
    <col min="6" max="6" width="27.21875" style="1" bestFit="1" customWidth="1"/>
    <col min="7" max="8" width="15.5546875" style="1" bestFit="1" customWidth="1"/>
    <col min="9" max="10" width="13.33203125" style="1" bestFit="1" customWidth="1"/>
    <col min="11" max="16384" width="8.88671875" style="1"/>
  </cols>
  <sheetData>
    <row r="1" spans="2:8" x14ac:dyDescent="0.35">
      <c r="B1" s="47" t="s">
        <v>23</v>
      </c>
      <c r="C1" s="47"/>
      <c r="D1" s="47"/>
    </row>
    <row r="3" spans="2:8" x14ac:dyDescent="0.35">
      <c r="B3" s="5" t="s">
        <v>0</v>
      </c>
      <c r="C3" s="7" t="s">
        <v>16</v>
      </c>
      <c r="D3" s="7" t="s">
        <v>28</v>
      </c>
      <c r="F3" s="5" t="s">
        <v>1</v>
      </c>
      <c r="G3" s="8" t="s">
        <v>16</v>
      </c>
      <c r="H3" s="7" t="s">
        <v>28</v>
      </c>
    </row>
    <row r="4" spans="2:8" x14ac:dyDescent="0.35">
      <c r="B4" s="2" t="s">
        <v>2</v>
      </c>
      <c r="C4" s="18">
        <f>+C5+C6+C7</f>
        <v>6068883</v>
      </c>
      <c r="D4" s="18">
        <f>+D5+D6+D7</f>
        <v>4710883</v>
      </c>
      <c r="F4" s="16" t="s">
        <v>12</v>
      </c>
      <c r="G4" s="23">
        <f>+G5+G6</f>
        <v>6589783</v>
      </c>
      <c r="H4" s="23">
        <f>+H5+H6</f>
        <v>7511383</v>
      </c>
    </row>
    <row r="5" spans="2:8" x14ac:dyDescent="0.35">
      <c r="B5" s="3" t="s">
        <v>3</v>
      </c>
      <c r="C5" s="9">
        <f>+'SP riclassificato dati'!C3</f>
        <v>671883</v>
      </c>
      <c r="D5" s="9">
        <f>+'SP riclassificato dati'!D3</f>
        <v>243883</v>
      </c>
      <c r="F5" s="3" t="s">
        <v>10</v>
      </c>
      <c r="G5" s="10">
        <f>+'SP riclassificato dati'!G8</f>
        <v>3589783</v>
      </c>
      <c r="H5" s="10">
        <f>+'SP riclassificato dati'!H8</f>
        <v>4541383</v>
      </c>
    </row>
    <row r="6" spans="2:8" x14ac:dyDescent="0.35">
      <c r="B6" s="3" t="s">
        <v>26</v>
      </c>
      <c r="C6" s="9">
        <f>+'SP riclassificato dati'!C8</f>
        <v>2794500</v>
      </c>
      <c r="D6" s="9">
        <f>+'SP riclassificato dati'!D8</f>
        <v>2022000</v>
      </c>
      <c r="F6" s="4" t="s">
        <v>11</v>
      </c>
      <c r="G6" s="15">
        <f>+'SP riclassificato dati'!G19</f>
        <v>3000000</v>
      </c>
      <c r="H6" s="15">
        <f>+'SP riclassificato dati'!H19</f>
        <v>2970000</v>
      </c>
    </row>
    <row r="7" spans="2:8" x14ac:dyDescent="0.35">
      <c r="B7" s="3" t="s">
        <v>4</v>
      </c>
      <c r="C7" s="9">
        <f>+'SP riclassificato dati'!C13</f>
        <v>2602500</v>
      </c>
      <c r="D7" s="9">
        <f>+'SP riclassificato dati'!D13</f>
        <v>2445000</v>
      </c>
      <c r="F7" s="31" t="s">
        <v>13</v>
      </c>
      <c r="G7" s="13">
        <f>+G8+G9</f>
        <v>10778100</v>
      </c>
      <c r="H7" s="13">
        <f>+H8+H9</f>
        <v>8904000</v>
      </c>
    </row>
    <row r="8" spans="2:8" x14ac:dyDescent="0.35">
      <c r="B8" s="2" t="s">
        <v>5</v>
      </c>
      <c r="C8" s="18">
        <f>+C9+C10+C11</f>
        <v>11299000</v>
      </c>
      <c r="D8" s="18">
        <f>+D9+D10+D11</f>
        <v>11704500</v>
      </c>
      <c r="F8" s="10" t="s">
        <v>14</v>
      </c>
      <c r="G8" s="9">
        <f>+'SP riclassificato dati'!K3</f>
        <v>9646500</v>
      </c>
      <c r="H8" s="9">
        <f>+'SP riclassificato dati'!L3</f>
        <v>7950000</v>
      </c>
    </row>
    <row r="9" spans="2:8" x14ac:dyDescent="0.35">
      <c r="B9" s="3" t="s">
        <v>6</v>
      </c>
      <c r="C9" s="9">
        <f>+'SP riclassificato dati'!C19</f>
        <v>10799000</v>
      </c>
      <c r="D9" s="9">
        <f>+'SP riclassificato dati'!D19</f>
        <v>11560500</v>
      </c>
      <c r="F9" s="15" t="s">
        <v>18</v>
      </c>
      <c r="G9" s="14">
        <v>1131600</v>
      </c>
      <c r="H9" s="14">
        <v>954000</v>
      </c>
    </row>
    <row r="10" spans="2:8" x14ac:dyDescent="0.35">
      <c r="B10" s="3" t="s">
        <v>7</v>
      </c>
      <c r="C10" s="9">
        <f>+'SP riclassificato dati'!G3</f>
        <v>500000</v>
      </c>
      <c r="D10" s="9">
        <f>+'SP riclassificato dati'!H3</f>
        <v>144000</v>
      </c>
      <c r="F10" s="32" t="s">
        <v>15</v>
      </c>
      <c r="G10" s="17">
        <f>+G4+G7</f>
        <v>17367883</v>
      </c>
      <c r="H10" s="17">
        <f>+H4+H7</f>
        <v>16415383</v>
      </c>
    </row>
    <row r="11" spans="2:8" x14ac:dyDescent="0.35">
      <c r="B11" s="3" t="s">
        <v>8</v>
      </c>
      <c r="C11" s="14"/>
      <c r="D11" s="14"/>
    </row>
    <row r="12" spans="2:8" x14ac:dyDescent="0.35">
      <c r="B12" s="6" t="s">
        <v>9</v>
      </c>
      <c r="C12" s="17">
        <f>+C4+C8</f>
        <v>17367883</v>
      </c>
      <c r="D12" s="17">
        <f>+D4+D8</f>
        <v>16415383</v>
      </c>
    </row>
  </sheetData>
  <mergeCells count="1">
    <mergeCell ref="B1:D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57602-7DB9-4F18-8BAD-8311DD4DEDBD}">
  <dimension ref="B2:I7"/>
  <sheetViews>
    <sheetView workbookViewId="0">
      <selection activeCell="I4" sqref="I4"/>
    </sheetView>
  </sheetViews>
  <sheetFormatPr defaultRowHeight="14.4" x14ac:dyDescent="0.3"/>
  <cols>
    <col min="2" max="2" width="46" bestFit="1" customWidth="1"/>
    <col min="3" max="4" width="13.33203125" bestFit="1" customWidth="1"/>
    <col min="5" max="5" width="11.21875" bestFit="1" customWidth="1"/>
    <col min="6" max="6" width="8.77734375" customWidth="1"/>
    <col min="7" max="7" width="26.33203125" bestFit="1" customWidth="1"/>
    <col min="8" max="9" width="13.33203125" bestFit="1" customWidth="1"/>
  </cols>
  <sheetData>
    <row r="2" spans="2:9" ht="18" x14ac:dyDescent="0.35">
      <c r="B2" s="8" t="s">
        <v>32</v>
      </c>
      <c r="C2" s="8" t="s">
        <v>16</v>
      </c>
      <c r="D2" s="7" t="s">
        <v>28</v>
      </c>
      <c r="G2" s="8" t="s">
        <v>33</v>
      </c>
      <c r="H2" s="8" t="s">
        <v>17</v>
      </c>
      <c r="I2" s="7" t="s">
        <v>16</v>
      </c>
    </row>
    <row r="3" spans="2:9" ht="18" x14ac:dyDescent="0.35">
      <c r="B3" s="19" t="s">
        <v>20</v>
      </c>
      <c r="C3" s="20">
        <v>1687500</v>
      </c>
      <c r="D3" s="20">
        <v>2070000</v>
      </c>
      <c r="E3" s="20">
        <f>+C3-D3</f>
        <v>-382500</v>
      </c>
      <c r="G3" s="19" t="s">
        <v>34</v>
      </c>
      <c r="H3" s="20">
        <v>2250000</v>
      </c>
      <c r="I3" s="20">
        <v>2250000</v>
      </c>
    </row>
    <row r="4" spans="2:9" ht="18" x14ac:dyDescent="0.35">
      <c r="B4" s="19" t="s">
        <v>21</v>
      </c>
      <c r="C4" s="20">
        <v>635400</v>
      </c>
      <c r="D4" s="20">
        <v>630000</v>
      </c>
      <c r="E4" s="20">
        <f t="shared" ref="E4:E6" si="0">+C4-D4</f>
        <v>5400</v>
      </c>
      <c r="G4" s="19" t="s">
        <v>66</v>
      </c>
      <c r="H4" s="20">
        <v>453000</v>
      </c>
      <c r="I4" s="20">
        <v>723000</v>
      </c>
    </row>
    <row r="5" spans="2:9" ht="18" x14ac:dyDescent="0.35">
      <c r="B5" s="19" t="s">
        <v>67</v>
      </c>
      <c r="C5" s="20">
        <v>723000</v>
      </c>
      <c r="D5" s="20">
        <v>1027500</v>
      </c>
      <c r="E5" s="20">
        <f t="shared" si="0"/>
        <v>-304500</v>
      </c>
      <c r="G5" s="19"/>
      <c r="H5" s="20"/>
      <c r="I5" s="20"/>
    </row>
    <row r="6" spans="2:9" ht="18" x14ac:dyDescent="0.35">
      <c r="B6" s="19" t="s">
        <v>54</v>
      </c>
      <c r="C6" s="20">
        <v>34479</v>
      </c>
      <c r="D6" s="20">
        <v>34479</v>
      </c>
      <c r="E6" s="20">
        <f t="shared" si="0"/>
        <v>0</v>
      </c>
      <c r="G6" s="8"/>
      <c r="H6" s="21"/>
      <c r="I6" s="21"/>
    </row>
    <row r="7" spans="2:9" ht="18" x14ac:dyDescent="0.35">
      <c r="B7" s="8" t="s">
        <v>56</v>
      </c>
      <c r="C7" s="21">
        <f>SUM(C3:C6)</f>
        <v>3080379</v>
      </c>
      <c r="D7" s="21">
        <f>SUM(D3:D6)</f>
        <v>3761979</v>
      </c>
      <c r="E7" s="21">
        <f>+C7-D7</f>
        <v>-681600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68A31-74F1-4D23-A90B-EC26A0BA160C}">
  <dimension ref="B2:I27"/>
  <sheetViews>
    <sheetView workbookViewId="0">
      <selection activeCell="J17" sqref="J17"/>
    </sheetView>
  </sheetViews>
  <sheetFormatPr defaultRowHeight="18" x14ac:dyDescent="0.35"/>
  <cols>
    <col min="1" max="2" width="8.88671875" style="1"/>
    <col min="3" max="3" width="58.109375" style="1" bestFit="1" customWidth="1"/>
    <col min="4" max="4" width="14.21875" style="11" bestFit="1" customWidth="1"/>
    <col min="5" max="5" width="25.5546875" style="1" bestFit="1" customWidth="1"/>
    <col min="6" max="6" width="27.33203125" style="1" bestFit="1" customWidth="1"/>
    <col min="7" max="7" width="13.44140625" style="1" bestFit="1" customWidth="1"/>
    <col min="8" max="8" width="13.33203125" style="1" bestFit="1" customWidth="1"/>
    <col min="9" max="9" width="11.21875" style="1" bestFit="1" customWidth="1"/>
    <col min="10" max="16384" width="8.88671875" style="1"/>
  </cols>
  <sheetData>
    <row r="2" spans="3:9" x14ac:dyDescent="0.35">
      <c r="C2" s="48" t="s">
        <v>27</v>
      </c>
      <c r="D2" s="49"/>
    </row>
    <row r="3" spans="3:9" x14ac:dyDescent="0.35">
      <c r="C3" s="24" t="s">
        <v>24</v>
      </c>
      <c r="D3" s="25">
        <f>+'S.P. Riclassificato'!G9</f>
        <v>1131600</v>
      </c>
    </row>
    <row r="4" spans="3:9" x14ac:dyDescent="0.35">
      <c r="C4" s="26" t="s">
        <v>68</v>
      </c>
      <c r="D4" s="9">
        <v>-20000</v>
      </c>
      <c r="E4" s="1" t="s">
        <v>69</v>
      </c>
    </row>
    <row r="5" spans="3:9" x14ac:dyDescent="0.35">
      <c r="C5" s="26" t="s">
        <v>71</v>
      </c>
      <c r="D5" s="9">
        <v>149000</v>
      </c>
      <c r="E5" s="1" t="s">
        <v>72</v>
      </c>
    </row>
    <row r="6" spans="3:9" x14ac:dyDescent="0.35">
      <c r="C6" s="26" t="s">
        <v>70</v>
      </c>
      <c r="D6" s="9">
        <v>2286500</v>
      </c>
      <c r="E6" s="1" t="s">
        <v>72</v>
      </c>
    </row>
    <row r="7" spans="3:9" x14ac:dyDescent="0.35">
      <c r="C7" s="26" t="s">
        <v>73</v>
      </c>
      <c r="D7" s="9">
        <v>30000</v>
      </c>
      <c r="E7" s="1" t="s">
        <v>72</v>
      </c>
    </row>
    <row r="8" spans="3:9" x14ac:dyDescent="0.35">
      <c r="C8" s="27" t="s">
        <v>29</v>
      </c>
      <c r="D8" s="9">
        <f>-'SP riclassificato dati'!C9+'SP riclassificato dati'!D9</f>
        <v>-772500</v>
      </c>
    </row>
    <row r="9" spans="3:9" x14ac:dyDescent="0.35">
      <c r="C9" s="27" t="s">
        <v>55</v>
      </c>
      <c r="D9" s="9">
        <f>-('S.P. Riclassificato'!C7-'S.P. Riclassificato'!D7)</f>
        <v>-157500</v>
      </c>
      <c r="G9" s="36" t="s">
        <v>39</v>
      </c>
      <c r="H9" s="37" t="s">
        <v>40</v>
      </c>
      <c r="I9" s="37" t="s">
        <v>41</v>
      </c>
    </row>
    <row r="10" spans="3:9" x14ac:dyDescent="0.35">
      <c r="C10" s="27" t="s">
        <v>25</v>
      </c>
      <c r="D10" s="9">
        <f>-'SP riclassificato dati'!C10+'SP riclassificato dati'!D10</f>
        <v>0</v>
      </c>
      <c r="F10" s="33" t="s">
        <v>37</v>
      </c>
      <c r="G10" s="20">
        <f>+'SP riclassificato dati'!C4</f>
        <v>572050</v>
      </c>
      <c r="H10" s="20">
        <f>+'SP riclassificato dati'!D4</f>
        <v>198000</v>
      </c>
      <c r="I10" s="35">
        <f>+G10-H10</f>
        <v>374050</v>
      </c>
    </row>
    <row r="11" spans="3:9" x14ac:dyDescent="0.35">
      <c r="C11" s="27" t="s">
        <v>35</v>
      </c>
      <c r="D11" s="9">
        <f>-('Debiti funzionam - finanziam'!D7-'Debiti funzionam - finanziam'!C7)</f>
        <v>-681600</v>
      </c>
      <c r="F11" s="33" t="s">
        <v>38</v>
      </c>
      <c r="G11" s="20">
        <f>+'SP riclassificato dati'!C5</f>
        <v>99833</v>
      </c>
      <c r="H11" s="20">
        <f>+'SP riclassificato dati'!D5</f>
        <v>45883</v>
      </c>
      <c r="I11" s="35">
        <f t="shared" ref="I11:I12" si="0">+G11-H11</f>
        <v>53950</v>
      </c>
    </row>
    <row r="12" spans="3:9" x14ac:dyDescent="0.35">
      <c r="C12" s="28" t="s">
        <v>22</v>
      </c>
      <c r="D12" s="14">
        <f>+'SP riclassificato dati'!G14-'SP riclassificato dati'!H14</f>
        <v>0</v>
      </c>
      <c r="F12" s="34" t="s">
        <v>3</v>
      </c>
      <c r="G12" s="41">
        <f>+G10+G11</f>
        <v>671883</v>
      </c>
      <c r="H12" s="39">
        <f>+H10+H11</f>
        <v>243883</v>
      </c>
      <c r="I12" s="17">
        <f t="shared" si="0"/>
        <v>428000</v>
      </c>
    </row>
    <row r="13" spans="3:9" x14ac:dyDescent="0.35">
      <c r="C13" s="29" t="s">
        <v>30</v>
      </c>
      <c r="D13" s="30">
        <f>SUM(D3:D12)</f>
        <v>1965500</v>
      </c>
    </row>
    <row r="15" spans="3:9" x14ac:dyDescent="0.35">
      <c r="C15" s="5" t="s">
        <v>31</v>
      </c>
      <c r="D15" s="44"/>
      <c r="F15" s="50" t="s">
        <v>42</v>
      </c>
      <c r="G15" s="50"/>
      <c r="H15" s="40">
        <f>+H12</f>
        <v>243883</v>
      </c>
    </row>
    <row r="16" spans="3:9" x14ac:dyDescent="0.35">
      <c r="C16" s="22" t="s">
        <v>74</v>
      </c>
      <c r="D16" s="12">
        <f>-(900000+450000+250000)</f>
        <v>-1600000</v>
      </c>
      <c r="F16" s="51" t="s">
        <v>43</v>
      </c>
      <c r="G16" s="51"/>
      <c r="H16" s="38">
        <f>+D13</f>
        <v>1965500</v>
      </c>
    </row>
    <row r="17" spans="2:8" x14ac:dyDescent="0.35">
      <c r="C17" s="3" t="s">
        <v>75</v>
      </c>
      <c r="D17" s="9">
        <v>95000</v>
      </c>
      <c r="F17" s="51" t="s">
        <v>44</v>
      </c>
      <c r="G17" s="51"/>
      <c r="H17" s="38">
        <f>+D19</f>
        <v>-1785000</v>
      </c>
    </row>
    <row r="18" spans="2:8" x14ac:dyDescent="0.35">
      <c r="B18" s="46"/>
      <c r="C18" s="1" t="s">
        <v>76</v>
      </c>
      <c r="D18" s="11">
        <v>-280000</v>
      </c>
      <c r="E18" s="45"/>
      <c r="F18" s="51" t="s">
        <v>45</v>
      </c>
      <c r="G18" s="51"/>
      <c r="H18" s="38">
        <f>+D27</f>
        <v>247500</v>
      </c>
    </row>
    <row r="19" spans="2:8" x14ac:dyDescent="0.35">
      <c r="C19" s="29" t="s">
        <v>31</v>
      </c>
      <c r="D19" s="30">
        <f>+D16+D17+D18</f>
        <v>-1785000</v>
      </c>
      <c r="F19" s="50" t="s">
        <v>46</v>
      </c>
      <c r="G19" s="50"/>
      <c r="H19" s="41">
        <f>+H15+H16+H17+H18</f>
        <v>671883</v>
      </c>
    </row>
    <row r="22" spans="2:8" x14ac:dyDescent="0.35">
      <c r="C22" s="5" t="s">
        <v>36</v>
      </c>
      <c r="D22" s="44"/>
    </row>
    <row r="23" spans="2:8" x14ac:dyDescent="0.35">
      <c r="C23" s="22" t="s">
        <v>19</v>
      </c>
      <c r="D23" s="12">
        <f>-('Debiti funzionam - finanziam'!I4-'Debiti funzionam - finanziam'!H4)</f>
        <v>-270000</v>
      </c>
    </row>
    <row r="24" spans="2:8" x14ac:dyDescent="0.35">
      <c r="C24" s="3" t="s">
        <v>77</v>
      </c>
      <c r="D24" s="9">
        <v>-900000</v>
      </c>
    </row>
    <row r="25" spans="2:8" x14ac:dyDescent="0.35">
      <c r="C25" s="3" t="s">
        <v>78</v>
      </c>
      <c r="D25" s="9">
        <f>150000*10.95</f>
        <v>1642500</v>
      </c>
    </row>
    <row r="26" spans="2:8" x14ac:dyDescent="0.35">
      <c r="C26" s="4" t="s">
        <v>79</v>
      </c>
      <c r="D26" s="11">
        <v>-225000</v>
      </c>
      <c r="E26" s="3"/>
    </row>
    <row r="27" spans="2:8" x14ac:dyDescent="0.35">
      <c r="C27" s="29" t="s">
        <v>31</v>
      </c>
      <c r="D27" s="30">
        <f>+D23+D24+D25+D26</f>
        <v>247500</v>
      </c>
    </row>
  </sheetData>
  <mergeCells count="6">
    <mergeCell ref="C2:D2"/>
    <mergeCell ref="F15:G15"/>
    <mergeCell ref="F19:G19"/>
    <mergeCell ref="F16:G16"/>
    <mergeCell ref="F17:G17"/>
    <mergeCell ref="F18:G1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SP riclassificato dati</vt:lpstr>
      <vt:lpstr>S.P. Riclassificato</vt:lpstr>
      <vt:lpstr>Debiti funzionam - finanziam</vt:lpstr>
      <vt:lpstr>Rendiconto finanziario D.L.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Luigi Caruso</dc:creator>
  <cp:lastModifiedBy>Luigi Caruso</cp:lastModifiedBy>
  <dcterms:created xsi:type="dcterms:W3CDTF">2015-06-05T18:19:34Z</dcterms:created>
  <dcterms:modified xsi:type="dcterms:W3CDTF">2023-10-29T11:05:15Z</dcterms:modified>
</cp:coreProperties>
</file>