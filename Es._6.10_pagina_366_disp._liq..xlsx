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165lu\Desktop\Scuola\Materiale Economia Aziendale\5. Classe quinta\1. Rendiconto finanziario\"/>
    </mc:Choice>
  </mc:AlternateContent>
  <xr:revisionPtr revIDLastSave="0" documentId="13_ncr:1_{2F9A22ED-3970-462B-A6D8-40600C3AA4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 riclassificato dati" sheetId="8" r:id="rId1"/>
    <sheet name="S.P. Riclassificato" sheetId="1" r:id="rId2"/>
    <sheet name="Debiti funzionam - finanziam" sheetId="7" r:id="rId3"/>
    <sheet name="Rendiconto finanziario D.L.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6" l="1"/>
  <c r="D29" i="6" l="1"/>
  <c r="D21" i="6"/>
  <c r="D12" i="6"/>
  <c r="D10" i="6"/>
  <c r="H4" i="1"/>
  <c r="G4" i="1"/>
  <c r="H7" i="8"/>
  <c r="G7" i="8"/>
  <c r="D8" i="8"/>
  <c r="C8" i="8"/>
  <c r="D9" i="1" l="1"/>
  <c r="D10" i="1"/>
  <c r="D5" i="1"/>
  <c r="D6" i="1"/>
  <c r="D4" i="1" s="1"/>
  <c r="H5" i="1"/>
  <c r="H8" i="1"/>
  <c r="G8" i="1"/>
  <c r="L3" i="8"/>
  <c r="K3" i="8"/>
  <c r="G5" i="1"/>
  <c r="C10" i="1"/>
  <c r="C9" i="1"/>
  <c r="C7" i="1"/>
  <c r="C6" i="1"/>
  <c r="C4" i="1" s="1"/>
  <c r="C5" i="1"/>
  <c r="H20" i="8"/>
  <c r="H19" i="8"/>
  <c r="H6" i="1" s="1"/>
  <c r="G19" i="8"/>
  <c r="G6" i="1" s="1"/>
  <c r="H22" i="8"/>
  <c r="H21" i="8"/>
  <c r="G10" i="8"/>
  <c r="H3" i="8"/>
  <c r="G3" i="8"/>
  <c r="D18" i="8"/>
  <c r="C18" i="8"/>
  <c r="D13" i="8"/>
  <c r="D7" i="1" s="1"/>
  <c r="C13" i="8"/>
  <c r="D3" i="8"/>
  <c r="C3" i="8"/>
  <c r="I6" i="7"/>
  <c r="H6" i="7"/>
  <c r="C8" i="7"/>
  <c r="H16" i="6"/>
  <c r="H13" i="6"/>
  <c r="G13" i="6"/>
  <c r="I12" i="6"/>
  <c r="I11" i="6"/>
  <c r="H19" i="6"/>
  <c r="D24" i="6"/>
  <c r="D26" i="6"/>
  <c r="D18" i="6"/>
  <c r="H18" i="6" s="1"/>
  <c r="D20" i="6"/>
  <c r="D8" i="7"/>
  <c r="E8" i="7" l="1"/>
  <c r="D11" i="6"/>
  <c r="D14" i="6" s="1"/>
  <c r="I13" i="6"/>
  <c r="G7" i="1"/>
  <c r="H7" i="1"/>
  <c r="C8" i="1"/>
  <c r="D8" i="1"/>
  <c r="D12" i="1" l="1"/>
  <c r="D9" i="6"/>
  <c r="H10" i="1"/>
  <c r="C12" i="1"/>
  <c r="G10" i="1"/>
  <c r="H17" i="6" l="1"/>
  <c r="H20" i="6" s="1"/>
</calcChain>
</file>

<file path=xl/sharedStrings.xml><?xml version="1.0" encoding="utf-8"?>
<sst xmlns="http://schemas.openxmlformats.org/spreadsheetml/2006/main" count="132" uniqueCount="86">
  <si>
    <t>IMPIEGHI</t>
  </si>
  <si>
    <t>FONTI</t>
  </si>
  <si>
    <t>Attivo corrente</t>
  </si>
  <si>
    <t>Disponibilità liquide</t>
  </si>
  <si>
    <t>Rimanenze</t>
  </si>
  <si>
    <t>Attivo immobilizzato</t>
  </si>
  <si>
    <t>Immobilizzazioni materiali</t>
  </si>
  <si>
    <t>Immobilizzazioni immateriali</t>
  </si>
  <si>
    <t>Immobilizzazioni finanziarie</t>
  </si>
  <si>
    <t>TOTALE IMPIEGHI</t>
  </si>
  <si>
    <t>Debiti a breve scadenza</t>
  </si>
  <si>
    <t>Debiti a M.L. scadenza</t>
  </si>
  <si>
    <t>Capitale di debito</t>
  </si>
  <si>
    <t>Patrimonio netto</t>
  </si>
  <si>
    <t>Capitale proprio</t>
  </si>
  <si>
    <t>TOTALE FONTI</t>
  </si>
  <si>
    <t>31/12/N</t>
  </si>
  <si>
    <t>Reddito d'esercizio</t>
  </si>
  <si>
    <t>TFR corrisposto ai dipendenti</t>
  </si>
  <si>
    <t>Obbligazioni in scadenza</t>
  </si>
  <si>
    <t>Debiti v/ altri finanziatori</t>
  </si>
  <si>
    <t>Debiti v/ banche</t>
  </si>
  <si>
    <t>Debiti v/ fornitori</t>
  </si>
  <si>
    <t>Debiti tributari</t>
  </si>
  <si>
    <t>Debiti v/ istituti previdenziali</t>
  </si>
  <si>
    <t>Deviti v/ altri</t>
  </si>
  <si>
    <t>TOTALE</t>
  </si>
  <si>
    <t>Ratei e risconti passivi</t>
  </si>
  <si>
    <t>SP RICLASSIFICATO SECONDO I CRITERI FINANZIARI</t>
  </si>
  <si>
    <t>Utile d'esercizio</t>
  </si>
  <si>
    <t>Ratei e risconti attivi</t>
  </si>
  <si>
    <t>Disponibilità finanziarie</t>
  </si>
  <si>
    <t>FLUSSO FINANZIARIO DELL'ATTIVITA' OPERATIVA</t>
  </si>
  <si>
    <t>(ricavo non monetario)</t>
  </si>
  <si>
    <t xml:space="preserve"> - Plusvalenza Impianti e macchinari</t>
  </si>
  <si>
    <t>(costo non monetario)</t>
  </si>
  <si>
    <t xml:space="preserve"> + TFR</t>
  </si>
  <si>
    <t xml:space="preserve"> + Amm.to imm. immat.</t>
  </si>
  <si>
    <t xml:space="preserve"> + Amm.to imm. materiali</t>
  </si>
  <si>
    <t>31/12/N-1</t>
  </si>
  <si>
    <t xml:space="preserve"> - Aumento rimanenze</t>
  </si>
  <si>
    <t>- Aumento ratei e risconti attivi</t>
  </si>
  <si>
    <t>+ Aumento ratei e risconti passivi</t>
  </si>
  <si>
    <t>TOTALE FLUSSO FINANZIARIO ATTIVITA' OPERATIVA</t>
  </si>
  <si>
    <t>Acquisto immobilizzazioni immateriali</t>
  </si>
  <si>
    <t>Costruzioni interne</t>
  </si>
  <si>
    <t>Acquisto immobilizzazioni materiali</t>
  </si>
  <si>
    <t>Vendite immobilizzazioni materiali</t>
  </si>
  <si>
    <t>FLUSSO FINANZIARIO ATTIVITA' DI INVESTIMENTO</t>
  </si>
  <si>
    <t>Debiti di funzionamento</t>
  </si>
  <si>
    <t>Debiti di finanziamento</t>
  </si>
  <si>
    <t>Obbligazioni</t>
  </si>
  <si>
    <t>FLUSSO FINANZIARIO ATTIVITA' DI FINANZIAMENTO</t>
  </si>
  <si>
    <t>Rimborso obbligazioni</t>
  </si>
  <si>
    <t>Aumento capitale sociale</t>
  </si>
  <si>
    <t>Rimborso debiti altri finanziatori</t>
  </si>
  <si>
    <t>Accensione debiti altri finanziatori</t>
  </si>
  <si>
    <t>Depositi bancari e postali</t>
  </si>
  <si>
    <t>Denaro in banca</t>
  </si>
  <si>
    <t>N</t>
  </si>
  <si>
    <t>N-1</t>
  </si>
  <si>
    <t>Var.</t>
  </si>
  <si>
    <t>Disponibilità liquide al 31/12/N-1</t>
  </si>
  <si>
    <t>Flusso attività operativa</t>
  </si>
  <si>
    <t>Flusso attività investimento</t>
  </si>
  <si>
    <t>Flusso attività finanziamento</t>
  </si>
  <si>
    <t>Disponibilità liquide al 31/12/N</t>
  </si>
  <si>
    <t>Denaro e valori in cassa</t>
  </si>
  <si>
    <t>Crediti v/ clienti</t>
  </si>
  <si>
    <t>Materie prime, suss, consum.</t>
  </si>
  <si>
    <t>Prodotti finiti e merci</t>
  </si>
  <si>
    <t>Terreni e fabbricati</t>
  </si>
  <si>
    <t>Impianti e macchinari</t>
  </si>
  <si>
    <t>Attrezzature industriali e commerciali</t>
  </si>
  <si>
    <t>Altri beni</t>
  </si>
  <si>
    <t>Diritti brevetto industriale</t>
  </si>
  <si>
    <t>TFR</t>
  </si>
  <si>
    <t>Capitale sociale</t>
  </si>
  <si>
    <t>Riserva soprapprezzo</t>
  </si>
  <si>
    <t>Riserva legale</t>
  </si>
  <si>
    <t>Altre riserve</t>
  </si>
  <si>
    <t>+ Aumento debiti funzionamento breve termine</t>
  </si>
  <si>
    <t xml:space="preserve"> - Aumento crediti a breve termine</t>
  </si>
  <si>
    <t>Debiti v/ altri</t>
  </si>
  <si>
    <t>Variazione dei fondi rischi e oneri di breve scadenza</t>
  </si>
  <si>
    <t>Variazione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</si>
</sst>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3" fillId="0" borderId="2" xfId="0" applyFont="1" applyBorder="1"/>
    <xf numFmtId="0" fontId="2" fillId="0" borderId="2" xfId="0" applyFont="1" applyBorder="1"/>
    <xf numFmtId="0" fontId="2" fillId="0" borderId="4" xfId="0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0" xfId="0" applyFont="1" applyBorder="1"/>
    <xf numFmtId="164" fontId="2" fillId="0" borderId="3" xfId="1" applyNumberFormat="1" applyFont="1" applyBorder="1"/>
    <xf numFmtId="164" fontId="2" fillId="0" borderId="8" xfId="1" applyNumberFormat="1" applyFont="1" applyBorder="1"/>
    <xf numFmtId="164" fontId="2" fillId="0" borderId="0" xfId="1" applyNumberFormat="1" applyFont="1"/>
    <xf numFmtId="164" fontId="2" fillId="0" borderId="1" xfId="1" applyNumberFormat="1" applyFont="1" applyBorder="1"/>
    <xf numFmtId="164" fontId="3" fillId="0" borderId="3" xfId="1" applyNumberFormat="1" applyFont="1" applyBorder="1"/>
    <xf numFmtId="164" fontId="2" fillId="0" borderId="5" xfId="1" applyNumberFormat="1" applyFont="1" applyBorder="1"/>
    <xf numFmtId="164" fontId="2" fillId="0" borderId="11" xfId="1" applyNumberFormat="1" applyFont="1" applyBorder="1"/>
    <xf numFmtId="164" fontId="3" fillId="0" borderId="2" xfId="1" applyNumberFormat="1" applyFont="1" applyBorder="1"/>
    <xf numFmtId="164" fontId="1" fillId="0" borderId="5" xfId="1" applyNumberFormat="1" applyFont="1" applyBorder="1"/>
    <xf numFmtId="164" fontId="1" fillId="0" borderId="3" xfId="1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164" fontId="1" fillId="0" borderId="10" xfId="1" applyNumberFormat="1" applyFont="1" applyBorder="1"/>
    <xf numFmtId="0" fontId="2" fillId="0" borderId="12" xfId="0" applyFont="1" applyBorder="1"/>
    <xf numFmtId="164" fontId="3" fillId="0" borderId="8" xfId="1" applyNumberFormat="1" applyFont="1" applyBorder="1"/>
    <xf numFmtId="0" fontId="3" fillId="0" borderId="12" xfId="0" applyFont="1" applyBorder="1"/>
    <xf numFmtId="164" fontId="3" fillId="0" borderId="1" xfId="1" applyNumberFormat="1" applyFont="1" applyBorder="1"/>
    <xf numFmtId="164" fontId="2" fillId="0" borderId="2" xfId="1" quotePrefix="1" applyNumberFormat="1" applyFont="1" applyBorder="1"/>
    <xf numFmtId="0" fontId="2" fillId="0" borderId="2" xfId="0" quotePrefix="1" applyFont="1" applyBorder="1"/>
    <xf numFmtId="0" fontId="1" fillId="3" borderId="6" xfId="0" applyFont="1" applyFill="1" applyBorder="1"/>
    <xf numFmtId="164" fontId="1" fillId="3" borderId="7" xfId="1" applyNumberFormat="1" applyFont="1" applyFill="1" applyBorder="1"/>
    <xf numFmtId="164" fontId="3" fillId="0" borderId="9" xfId="1" applyNumberFormat="1" applyFont="1" applyBorder="1"/>
    <xf numFmtId="164" fontId="1" fillId="0" borderId="11" xfId="1" applyNumberFormat="1" applyFont="1" applyBorder="1"/>
    <xf numFmtId="0" fontId="2" fillId="0" borderId="6" xfId="0" applyFont="1" applyBorder="1"/>
    <xf numFmtId="0" fontId="1" fillId="0" borderId="4" xfId="0" applyFont="1" applyBorder="1"/>
    <xf numFmtId="164" fontId="2" fillId="0" borderId="7" xfId="1" applyNumberFormat="1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4" fontId="2" fillId="0" borderId="10" xfId="0" applyNumberFormat="1" applyFont="1" applyBorder="1"/>
    <xf numFmtId="164" fontId="1" fillId="4" borderId="5" xfId="1" applyNumberFormat="1" applyFont="1" applyFill="1" applyBorder="1"/>
    <xf numFmtId="164" fontId="1" fillId="4" borderId="10" xfId="0" applyNumberFormat="1" applyFont="1" applyFill="1" applyBorder="1"/>
    <xf numFmtId="164" fontId="1" fillId="5" borderId="11" xfId="1" applyNumberFormat="1" applyFont="1" applyFill="1" applyBorder="1"/>
    <xf numFmtId="164" fontId="2" fillId="0" borderId="10" xfId="1" applyNumberFormat="1" applyFont="1" applyBorder="1" applyAlignment="1">
      <alignment horizontal="center"/>
    </xf>
    <xf numFmtId="164" fontId="2" fillId="0" borderId="9" xfId="1" applyNumberFormat="1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4" fontId="1" fillId="4" borderId="10" xfId="1" applyNumberFormat="1" applyFont="1" applyFill="1" applyBorder="1"/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0F80-9B1D-4D32-B135-0F1FC8EA885C}">
  <dimension ref="B2:L22"/>
  <sheetViews>
    <sheetView tabSelected="1" workbookViewId="0">
      <selection activeCell="J18" sqref="J18"/>
    </sheetView>
  </sheetViews>
  <sheetFormatPr defaultRowHeight="18" x14ac:dyDescent="0.35"/>
  <cols>
    <col min="1" max="1" width="4.33203125" style="11" customWidth="1"/>
    <col min="2" max="2" width="42" style="11" bestFit="1" customWidth="1"/>
    <col min="3" max="3" width="13.44140625" style="11" bestFit="1" customWidth="1"/>
    <col min="4" max="4" width="13.33203125" style="11" bestFit="1" customWidth="1"/>
    <col min="5" max="5" width="3.5546875" style="11" customWidth="1"/>
    <col min="6" max="6" width="33" style="11" customWidth="1"/>
    <col min="7" max="8" width="13.33203125" style="11" bestFit="1" customWidth="1"/>
    <col min="9" max="9" width="4.88671875" style="11" customWidth="1"/>
    <col min="10" max="10" width="29.88671875" style="11" bestFit="1" customWidth="1"/>
    <col min="11" max="12" width="13.33203125" style="11" bestFit="1" customWidth="1"/>
    <col min="13" max="16384" width="8.88671875" style="11"/>
  </cols>
  <sheetData>
    <row r="2" spans="2:12" x14ac:dyDescent="0.35">
      <c r="C2" s="41" t="s">
        <v>59</v>
      </c>
      <c r="D2" s="41" t="s">
        <v>60</v>
      </c>
      <c r="G2" s="42" t="s">
        <v>59</v>
      </c>
      <c r="H2" s="42" t="s">
        <v>60</v>
      </c>
      <c r="K2" s="42" t="s">
        <v>59</v>
      </c>
      <c r="L2" s="42" t="s">
        <v>60</v>
      </c>
    </row>
    <row r="3" spans="2:12" x14ac:dyDescent="0.35">
      <c r="B3" s="21" t="s">
        <v>3</v>
      </c>
      <c r="C3" s="21">
        <f>+C4+C5</f>
        <v>39000</v>
      </c>
      <c r="D3" s="21">
        <f>+D4+D5</f>
        <v>69000</v>
      </c>
      <c r="F3" s="21" t="s">
        <v>7</v>
      </c>
      <c r="G3" s="21">
        <f>+G4+G5</f>
        <v>507000</v>
      </c>
      <c r="H3" s="21">
        <f>+H4+H5</f>
        <v>150000</v>
      </c>
      <c r="J3" s="21" t="s">
        <v>14</v>
      </c>
      <c r="K3" s="21">
        <f>SUM(K4:K7)</f>
        <v>4415000</v>
      </c>
      <c r="L3" s="21">
        <f>SUM(L4:L7)</f>
        <v>3080000</v>
      </c>
    </row>
    <row r="4" spans="2:12" x14ac:dyDescent="0.35">
      <c r="B4" s="20" t="s">
        <v>57</v>
      </c>
      <c r="C4" s="20">
        <v>30000</v>
      </c>
      <c r="D4" s="41">
        <v>65000</v>
      </c>
      <c r="F4" s="20" t="s">
        <v>75</v>
      </c>
      <c r="G4" s="20">
        <v>507000</v>
      </c>
      <c r="H4" s="20">
        <v>150000</v>
      </c>
      <c r="J4" s="20" t="s">
        <v>77</v>
      </c>
      <c r="K4" s="20">
        <v>3600000</v>
      </c>
      <c r="L4" s="20">
        <v>2400000</v>
      </c>
    </row>
    <row r="5" spans="2:12" x14ac:dyDescent="0.35">
      <c r="B5" s="20" t="s">
        <v>67</v>
      </c>
      <c r="C5" s="20">
        <v>9000</v>
      </c>
      <c r="D5" s="20">
        <v>4000</v>
      </c>
      <c r="J5" s="20" t="s">
        <v>78</v>
      </c>
      <c r="K5" s="20">
        <v>330000</v>
      </c>
      <c r="L5" s="20"/>
    </row>
    <row r="6" spans="2:12" x14ac:dyDescent="0.35">
      <c r="G6" s="42" t="s">
        <v>59</v>
      </c>
      <c r="H6" s="42" t="s">
        <v>60</v>
      </c>
      <c r="J6" s="20" t="s">
        <v>79</v>
      </c>
      <c r="K6" s="20">
        <v>480000</v>
      </c>
      <c r="L6" s="20">
        <v>480000</v>
      </c>
    </row>
    <row r="7" spans="2:12" x14ac:dyDescent="0.35">
      <c r="C7" s="42" t="s">
        <v>59</v>
      </c>
      <c r="D7" s="42" t="s">
        <v>60</v>
      </c>
      <c r="F7" s="8" t="s">
        <v>10</v>
      </c>
      <c r="G7" s="20">
        <f>SUM(G8:G16)</f>
        <v>3832420</v>
      </c>
      <c r="H7" s="20">
        <f>SUM(H8:H16)</f>
        <v>2806500</v>
      </c>
      <c r="J7" s="20" t="s">
        <v>80</v>
      </c>
      <c r="K7" s="20">
        <v>5000</v>
      </c>
      <c r="L7" s="20">
        <v>200000</v>
      </c>
    </row>
    <row r="8" spans="2:12" x14ac:dyDescent="0.35">
      <c r="B8" s="21" t="s">
        <v>31</v>
      </c>
      <c r="C8" s="21">
        <f>+C9+C10</f>
        <v>3566500</v>
      </c>
      <c r="D8" s="21">
        <f>+D9+D10</f>
        <v>2772500</v>
      </c>
      <c r="F8" s="19" t="s">
        <v>18</v>
      </c>
      <c r="G8" s="20"/>
      <c r="H8" s="20">
        <v>277500</v>
      </c>
    </row>
    <row r="9" spans="2:12" x14ac:dyDescent="0.35">
      <c r="B9" s="20" t="s">
        <v>68</v>
      </c>
      <c r="C9" s="20">
        <v>3538000</v>
      </c>
      <c r="D9" s="20">
        <v>2757500</v>
      </c>
      <c r="F9" s="19" t="s">
        <v>19</v>
      </c>
      <c r="G9" s="20">
        <v>300000</v>
      </c>
      <c r="H9" s="20">
        <v>300000</v>
      </c>
    </row>
    <row r="10" spans="2:12" x14ac:dyDescent="0.35">
      <c r="B10" s="20" t="s">
        <v>30</v>
      </c>
      <c r="C10" s="14">
        <v>28500</v>
      </c>
      <c r="D10" s="14">
        <v>15000</v>
      </c>
      <c r="F10" s="19" t="s">
        <v>20</v>
      </c>
      <c r="G10" s="20">
        <f>705000-630000</f>
        <v>75000</v>
      </c>
      <c r="H10" s="20">
        <v>75000</v>
      </c>
    </row>
    <row r="11" spans="2:12" x14ac:dyDescent="0.35">
      <c r="F11" s="19" t="s">
        <v>21</v>
      </c>
      <c r="G11" s="20">
        <v>1132500</v>
      </c>
      <c r="H11" s="20">
        <v>230500</v>
      </c>
    </row>
    <row r="12" spans="2:12" x14ac:dyDescent="0.35">
      <c r="C12" s="42" t="s">
        <v>59</v>
      </c>
      <c r="D12" s="42" t="s">
        <v>60</v>
      </c>
      <c r="F12" s="19" t="s">
        <v>22</v>
      </c>
      <c r="G12" s="20">
        <v>1475000</v>
      </c>
      <c r="H12" s="20">
        <v>1357500</v>
      </c>
    </row>
    <row r="13" spans="2:12" x14ac:dyDescent="0.35">
      <c r="B13" s="21" t="s">
        <v>4</v>
      </c>
      <c r="C13" s="21">
        <f>+C14+C15</f>
        <v>2010000</v>
      </c>
      <c r="D13" s="21">
        <f>+D14+D15</f>
        <v>1590000</v>
      </c>
      <c r="F13" s="19" t="s">
        <v>23</v>
      </c>
      <c r="G13" s="20">
        <v>217500</v>
      </c>
      <c r="H13" s="20">
        <v>76500</v>
      </c>
    </row>
    <row r="14" spans="2:12" x14ac:dyDescent="0.35">
      <c r="B14" s="20" t="s">
        <v>69</v>
      </c>
      <c r="C14" s="20">
        <v>696000</v>
      </c>
      <c r="D14" s="20">
        <v>636000</v>
      </c>
      <c r="F14" s="19" t="s">
        <v>24</v>
      </c>
      <c r="G14" s="20">
        <v>153240</v>
      </c>
      <c r="H14" s="20">
        <v>111000</v>
      </c>
    </row>
    <row r="15" spans="2:12" x14ac:dyDescent="0.35">
      <c r="B15" s="20" t="s">
        <v>70</v>
      </c>
      <c r="C15" s="20">
        <v>1314000</v>
      </c>
      <c r="D15" s="20">
        <v>954000</v>
      </c>
      <c r="F15" s="19" t="s">
        <v>25</v>
      </c>
      <c r="G15" s="20">
        <v>381680</v>
      </c>
      <c r="H15" s="20">
        <v>288500</v>
      </c>
    </row>
    <row r="16" spans="2:12" x14ac:dyDescent="0.35">
      <c r="F16" s="19" t="s">
        <v>27</v>
      </c>
      <c r="G16" s="20">
        <v>97500</v>
      </c>
      <c r="H16" s="20">
        <v>90000</v>
      </c>
    </row>
    <row r="17" spans="2:8" x14ac:dyDescent="0.35">
      <c r="C17" s="42" t="s">
        <v>59</v>
      </c>
      <c r="D17" s="42" t="s">
        <v>60</v>
      </c>
    </row>
    <row r="18" spans="2:8" x14ac:dyDescent="0.35">
      <c r="B18" s="21" t="s">
        <v>6</v>
      </c>
      <c r="C18" s="21">
        <f>+C19+C21+C20+C22</f>
        <v>4681500</v>
      </c>
      <c r="D18" s="21">
        <f>+D19+D21+D20+D22</f>
        <v>3367500</v>
      </c>
      <c r="G18" s="42" t="s">
        <v>59</v>
      </c>
      <c r="H18" s="42" t="s">
        <v>60</v>
      </c>
    </row>
    <row r="19" spans="2:8" x14ac:dyDescent="0.35">
      <c r="B19" s="20" t="s">
        <v>71</v>
      </c>
      <c r="C19" s="20">
        <v>2385000</v>
      </c>
      <c r="D19" s="20">
        <v>1965000</v>
      </c>
      <c r="F19" s="8" t="s">
        <v>11</v>
      </c>
      <c r="G19" s="21">
        <f>+G21+G22+G20</f>
        <v>2196580</v>
      </c>
      <c r="H19" s="21">
        <f>+H21+H22+H20</f>
        <v>2257500</v>
      </c>
    </row>
    <row r="20" spans="2:8" x14ac:dyDescent="0.35">
      <c r="B20" s="20" t="s">
        <v>72</v>
      </c>
      <c r="C20" s="20">
        <v>1830000</v>
      </c>
      <c r="D20" s="20">
        <v>1200000</v>
      </c>
      <c r="F20" s="20" t="s">
        <v>76</v>
      </c>
      <c r="G20" s="20">
        <v>666580</v>
      </c>
      <c r="H20" s="20">
        <f>930000-277500</f>
        <v>652500</v>
      </c>
    </row>
    <row r="21" spans="2:8" x14ac:dyDescent="0.35">
      <c r="B21" s="20" t="s">
        <v>73</v>
      </c>
      <c r="C21" s="20">
        <v>255000</v>
      </c>
      <c r="D21" s="20">
        <v>180000</v>
      </c>
      <c r="F21" s="20" t="s">
        <v>51</v>
      </c>
      <c r="G21" s="20">
        <v>900000</v>
      </c>
      <c r="H21" s="20">
        <f>1500000-300000</f>
        <v>1200000</v>
      </c>
    </row>
    <row r="22" spans="2:8" x14ac:dyDescent="0.35">
      <c r="B22" s="20" t="s">
        <v>74</v>
      </c>
      <c r="C22" s="20">
        <v>211500</v>
      </c>
      <c r="D22" s="20">
        <v>22500</v>
      </c>
      <c r="F22" s="20" t="s">
        <v>20</v>
      </c>
      <c r="G22" s="20">
        <v>630000</v>
      </c>
      <c r="H22" s="20">
        <f>480000-75000</f>
        <v>405000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2"/>
  <sheetViews>
    <sheetView workbookViewId="0">
      <selection activeCell="D23" sqref="D23"/>
    </sheetView>
  </sheetViews>
  <sheetFormatPr defaultRowHeight="18" x14ac:dyDescent="0.35"/>
  <cols>
    <col min="1" max="1" width="8.88671875" style="1"/>
    <col min="2" max="2" width="31.6640625" style="1" customWidth="1"/>
    <col min="3" max="4" width="14.6640625" style="1" bestFit="1" customWidth="1"/>
    <col min="5" max="5" width="7.88671875" style="1" customWidth="1"/>
    <col min="6" max="6" width="27.21875" style="1" bestFit="1" customWidth="1"/>
    <col min="7" max="8" width="15.5546875" style="1" bestFit="1" customWidth="1"/>
    <col min="9" max="10" width="13.33203125" style="1" bestFit="1" customWidth="1"/>
    <col min="11" max="16384" width="8.88671875" style="1"/>
  </cols>
  <sheetData>
    <row r="1" spans="2:8" x14ac:dyDescent="0.35">
      <c r="B1" s="43" t="s">
        <v>28</v>
      </c>
      <c r="C1" s="43"/>
      <c r="D1" s="43"/>
    </row>
    <row r="3" spans="2:8" x14ac:dyDescent="0.35">
      <c r="B3" s="5" t="s">
        <v>0</v>
      </c>
      <c r="C3" s="7" t="s">
        <v>16</v>
      </c>
      <c r="D3" s="7" t="s">
        <v>39</v>
      </c>
      <c r="F3" s="5" t="s">
        <v>1</v>
      </c>
      <c r="G3" s="8" t="s">
        <v>16</v>
      </c>
      <c r="H3" s="7" t="s">
        <v>39</v>
      </c>
    </row>
    <row r="4" spans="2:8" x14ac:dyDescent="0.35">
      <c r="B4" s="2" t="s">
        <v>2</v>
      </c>
      <c r="C4" s="18">
        <f>SUM(C5:C7)</f>
        <v>5615500</v>
      </c>
      <c r="D4" s="18">
        <f>SUM(D5:D7)</f>
        <v>4431500</v>
      </c>
      <c r="F4" s="16" t="s">
        <v>12</v>
      </c>
      <c r="G4" s="23">
        <f>+G5+G6</f>
        <v>6029000</v>
      </c>
      <c r="H4" s="23">
        <f>+H5+H6</f>
        <v>5064000</v>
      </c>
    </row>
    <row r="5" spans="2:8" x14ac:dyDescent="0.35">
      <c r="B5" s="3" t="s">
        <v>3</v>
      </c>
      <c r="C5" s="9">
        <f>+'SP riclassificato dati'!C3</f>
        <v>39000</v>
      </c>
      <c r="D5" s="9">
        <f>+'SP riclassificato dati'!D3</f>
        <v>69000</v>
      </c>
      <c r="F5" s="3" t="s">
        <v>10</v>
      </c>
      <c r="G5" s="10">
        <f>+'SP riclassificato dati'!G7</f>
        <v>3832420</v>
      </c>
      <c r="H5" s="10">
        <f>+'SP riclassificato dati'!H7</f>
        <v>2806500</v>
      </c>
    </row>
    <row r="6" spans="2:8" x14ac:dyDescent="0.35">
      <c r="B6" s="3" t="s">
        <v>31</v>
      </c>
      <c r="C6" s="9">
        <f>+'SP riclassificato dati'!C8</f>
        <v>3566500</v>
      </c>
      <c r="D6" s="9">
        <f>+'SP riclassificato dati'!D8</f>
        <v>2772500</v>
      </c>
      <c r="F6" s="4" t="s">
        <v>11</v>
      </c>
      <c r="G6" s="15">
        <f>+'SP riclassificato dati'!G19</f>
        <v>2196580</v>
      </c>
      <c r="H6" s="15">
        <f>+'SP riclassificato dati'!H19</f>
        <v>2257500</v>
      </c>
    </row>
    <row r="7" spans="2:8" x14ac:dyDescent="0.35">
      <c r="B7" s="3" t="s">
        <v>4</v>
      </c>
      <c r="C7" s="9">
        <f>+'SP riclassificato dati'!C13</f>
        <v>2010000</v>
      </c>
      <c r="D7" s="9">
        <f>+'SP riclassificato dati'!D13</f>
        <v>1590000</v>
      </c>
      <c r="F7" s="30" t="s">
        <v>13</v>
      </c>
      <c r="G7" s="13">
        <f>+G8+G9</f>
        <v>4775000</v>
      </c>
      <c r="H7" s="13">
        <f>+H8+H9</f>
        <v>2885000</v>
      </c>
    </row>
    <row r="8" spans="2:8" x14ac:dyDescent="0.35">
      <c r="B8" s="2" t="s">
        <v>5</v>
      </c>
      <c r="C8" s="18">
        <f>+C9+C10+C11</f>
        <v>5188500</v>
      </c>
      <c r="D8" s="18">
        <f>+D9+D10+D11</f>
        <v>3517500</v>
      </c>
      <c r="F8" s="10" t="s">
        <v>14</v>
      </c>
      <c r="G8" s="9">
        <f>+'SP riclassificato dati'!K3</f>
        <v>4415000</v>
      </c>
      <c r="H8" s="9">
        <f>+'SP riclassificato dati'!L3</f>
        <v>3080000</v>
      </c>
    </row>
    <row r="9" spans="2:8" x14ac:dyDescent="0.35">
      <c r="B9" s="3" t="s">
        <v>6</v>
      </c>
      <c r="C9" s="9">
        <f>+'SP riclassificato dati'!C18</f>
        <v>4681500</v>
      </c>
      <c r="D9" s="9">
        <f>+'SP riclassificato dati'!D18</f>
        <v>3367500</v>
      </c>
      <c r="F9" s="15" t="s">
        <v>17</v>
      </c>
      <c r="G9" s="14">
        <v>360000</v>
      </c>
      <c r="H9" s="14">
        <v>-195000</v>
      </c>
    </row>
    <row r="10" spans="2:8" x14ac:dyDescent="0.35">
      <c r="B10" s="3" t="s">
        <v>7</v>
      </c>
      <c r="C10" s="9">
        <f>+'SP riclassificato dati'!G3</f>
        <v>507000</v>
      </c>
      <c r="D10" s="9">
        <f>+'SP riclassificato dati'!H3</f>
        <v>150000</v>
      </c>
      <c r="F10" s="31" t="s">
        <v>15</v>
      </c>
      <c r="G10" s="17">
        <f>+G4+G7</f>
        <v>10804000</v>
      </c>
      <c r="H10" s="17">
        <f>+H4+H7</f>
        <v>7949000</v>
      </c>
    </row>
    <row r="11" spans="2:8" x14ac:dyDescent="0.35">
      <c r="B11" s="3" t="s">
        <v>8</v>
      </c>
      <c r="C11" s="14"/>
      <c r="D11" s="14"/>
    </row>
    <row r="12" spans="2:8" x14ac:dyDescent="0.35">
      <c r="B12" s="6" t="s">
        <v>9</v>
      </c>
      <c r="C12" s="17">
        <f>+C4+C8</f>
        <v>10804000</v>
      </c>
      <c r="D12" s="17">
        <f>+D4+D8</f>
        <v>7949000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7602-7DB9-4F18-8BAD-8311DD4DEDBD}">
  <dimension ref="B2:I8"/>
  <sheetViews>
    <sheetView workbookViewId="0">
      <selection activeCell="F15" sqref="F15"/>
    </sheetView>
  </sheetViews>
  <sheetFormatPr defaultRowHeight="14.4" x14ac:dyDescent="0.3"/>
  <cols>
    <col min="2" max="2" width="46" bestFit="1" customWidth="1"/>
    <col min="3" max="4" width="13.33203125" bestFit="1" customWidth="1"/>
    <col min="5" max="5" width="13.33203125" customWidth="1"/>
    <col min="7" max="7" width="31.5546875" bestFit="1" customWidth="1"/>
    <col min="8" max="9" width="13.33203125" bestFit="1" customWidth="1"/>
  </cols>
  <sheetData>
    <row r="2" spans="2:9" ht="18" x14ac:dyDescent="0.35">
      <c r="B2" s="8" t="s">
        <v>49</v>
      </c>
      <c r="C2" s="8" t="s">
        <v>16</v>
      </c>
      <c r="D2" s="7" t="s">
        <v>39</v>
      </c>
      <c r="G2" s="8" t="s">
        <v>50</v>
      </c>
      <c r="H2" s="8" t="s">
        <v>16</v>
      </c>
      <c r="I2" s="7" t="s">
        <v>39</v>
      </c>
    </row>
    <row r="3" spans="2:9" ht="18" x14ac:dyDescent="0.35">
      <c r="B3" s="19" t="s">
        <v>18</v>
      </c>
      <c r="C3" s="20"/>
      <c r="D3" s="20">
        <v>277500</v>
      </c>
      <c r="G3" s="19" t="s">
        <v>51</v>
      </c>
      <c r="H3" s="20">
        <v>1200000</v>
      </c>
      <c r="I3" s="20">
        <v>1500000</v>
      </c>
    </row>
    <row r="4" spans="2:9" ht="18" x14ac:dyDescent="0.35">
      <c r="B4" s="19" t="s">
        <v>22</v>
      </c>
      <c r="C4" s="20">
        <v>1475000</v>
      </c>
      <c r="D4" s="20">
        <v>1357500</v>
      </c>
      <c r="G4" s="19" t="s">
        <v>21</v>
      </c>
      <c r="H4" s="20">
        <v>1132500</v>
      </c>
      <c r="I4" s="20">
        <v>230500</v>
      </c>
    </row>
    <row r="5" spans="2:9" ht="18" x14ac:dyDescent="0.35">
      <c r="B5" s="19" t="s">
        <v>23</v>
      </c>
      <c r="C5" s="20">
        <v>217500</v>
      </c>
      <c r="D5" s="20">
        <v>76500</v>
      </c>
      <c r="G5" s="19" t="s">
        <v>20</v>
      </c>
      <c r="H5" s="20">
        <v>705000</v>
      </c>
      <c r="I5" s="20">
        <v>480000</v>
      </c>
    </row>
    <row r="6" spans="2:9" ht="18" x14ac:dyDescent="0.35">
      <c r="B6" s="19" t="s">
        <v>24</v>
      </c>
      <c r="C6" s="20">
        <v>153240</v>
      </c>
      <c r="D6" s="20">
        <v>111000</v>
      </c>
      <c r="G6" s="8" t="s">
        <v>26</v>
      </c>
      <c r="H6" s="21">
        <f>+H3+H4+H5</f>
        <v>3037500</v>
      </c>
      <c r="I6" s="21">
        <f>+I3+I4+I5</f>
        <v>2210500</v>
      </c>
    </row>
    <row r="7" spans="2:9" ht="18" x14ac:dyDescent="0.35">
      <c r="B7" s="19" t="s">
        <v>83</v>
      </c>
      <c r="C7" s="20">
        <v>381680</v>
      </c>
      <c r="D7" s="20">
        <v>288500</v>
      </c>
      <c r="E7" s="21" t="s">
        <v>85</v>
      </c>
    </row>
    <row r="8" spans="2:9" ht="18" x14ac:dyDescent="0.35">
      <c r="B8" s="8" t="s">
        <v>26</v>
      </c>
      <c r="C8" s="21">
        <f>SUM(C3:C7)</f>
        <v>2227420</v>
      </c>
      <c r="D8" s="21">
        <f>SUM(D3:D7)</f>
        <v>2111000</v>
      </c>
      <c r="E8" s="48">
        <f>+C8-D8</f>
        <v>116420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8A31-74F1-4D23-A90B-EC26A0BA160C}">
  <dimension ref="C2:I29"/>
  <sheetViews>
    <sheetView workbookViewId="0">
      <selection activeCell="E27" sqref="E27"/>
    </sheetView>
  </sheetViews>
  <sheetFormatPr defaultRowHeight="18" x14ac:dyDescent="0.35"/>
  <cols>
    <col min="1" max="2" width="8.88671875" style="1"/>
    <col min="3" max="3" width="58.109375" style="1" bestFit="1" customWidth="1"/>
    <col min="4" max="4" width="13.33203125" style="11" bestFit="1" customWidth="1"/>
    <col min="5" max="5" width="25" style="1" bestFit="1" customWidth="1"/>
    <col min="6" max="6" width="27.33203125" style="1" bestFit="1" customWidth="1"/>
    <col min="7" max="7" width="13.44140625" style="1" bestFit="1" customWidth="1"/>
    <col min="8" max="8" width="13.33203125" style="1" bestFit="1" customWidth="1"/>
    <col min="9" max="9" width="9.88671875" style="1" bestFit="1" customWidth="1"/>
    <col min="10" max="16384" width="8.88671875" style="1"/>
  </cols>
  <sheetData>
    <row r="2" spans="3:9" x14ac:dyDescent="0.35">
      <c r="C2" s="44" t="s">
        <v>32</v>
      </c>
      <c r="D2" s="45"/>
    </row>
    <row r="3" spans="3:9" x14ac:dyDescent="0.35">
      <c r="C3" s="24" t="s">
        <v>29</v>
      </c>
      <c r="D3" s="25">
        <v>360000</v>
      </c>
    </row>
    <row r="4" spans="3:9" x14ac:dyDescent="0.35">
      <c r="C4" s="26" t="s">
        <v>34</v>
      </c>
      <c r="D4" s="9">
        <v>-60000</v>
      </c>
      <c r="E4" s="1" t="s">
        <v>33</v>
      </c>
    </row>
    <row r="5" spans="3:9" x14ac:dyDescent="0.35">
      <c r="C5" s="26" t="s">
        <v>36</v>
      </c>
      <c r="D5" s="9">
        <v>14080</v>
      </c>
      <c r="E5" s="1" t="s">
        <v>35</v>
      </c>
    </row>
    <row r="6" spans="3:9" x14ac:dyDescent="0.35">
      <c r="C6" s="26" t="s">
        <v>37</v>
      </c>
      <c r="D6" s="9">
        <v>255000</v>
      </c>
      <c r="E6" s="1" t="s">
        <v>35</v>
      </c>
    </row>
    <row r="7" spans="3:9" x14ac:dyDescent="0.35">
      <c r="C7" s="26" t="s">
        <v>38</v>
      </c>
      <c r="D7" s="9">
        <v>726000</v>
      </c>
      <c r="E7" s="1" t="s">
        <v>35</v>
      </c>
    </row>
    <row r="8" spans="3:9" x14ac:dyDescent="0.35">
      <c r="C8" s="27" t="s">
        <v>82</v>
      </c>
      <c r="D8" s="9">
        <f>-('SP riclassificato dati'!C9-'SP riclassificato dati'!D9)</f>
        <v>-780500</v>
      </c>
    </row>
    <row r="9" spans="3:9" x14ac:dyDescent="0.35">
      <c r="C9" s="27" t="s">
        <v>40</v>
      </c>
      <c r="D9" s="9">
        <f>+'S.P. Riclassificato'!D7-'S.P. Riclassificato'!C7</f>
        <v>-420000</v>
      </c>
    </row>
    <row r="10" spans="3:9" x14ac:dyDescent="0.35">
      <c r="C10" s="27" t="s">
        <v>41</v>
      </c>
      <c r="D10" s="9">
        <f>-('SP riclassificato dati'!C10-'SP riclassificato dati'!D10)</f>
        <v>-13500</v>
      </c>
      <c r="G10" s="35" t="s">
        <v>59</v>
      </c>
      <c r="H10" s="36" t="s">
        <v>60</v>
      </c>
      <c r="I10" s="36" t="s">
        <v>61</v>
      </c>
    </row>
    <row r="11" spans="3:9" x14ac:dyDescent="0.35">
      <c r="C11" s="27" t="s">
        <v>81</v>
      </c>
      <c r="D11" s="9">
        <f>+'Debiti funzionam - finanziam'!C8-'Debiti funzionam - finanziam'!D8</f>
        <v>116420</v>
      </c>
      <c r="F11" s="32" t="s">
        <v>57</v>
      </c>
      <c r="G11" s="20">
        <v>30000</v>
      </c>
      <c r="H11" s="34">
        <v>65000</v>
      </c>
      <c r="I11" s="34">
        <f>+G11-H11</f>
        <v>-35000</v>
      </c>
    </row>
    <row r="12" spans="3:9" x14ac:dyDescent="0.35">
      <c r="C12" s="27" t="s">
        <v>42</v>
      </c>
      <c r="D12" s="9">
        <f>+('SP riclassificato dati'!G16-'SP riclassificato dati'!H16)</f>
        <v>7500</v>
      </c>
      <c r="F12" s="32" t="s">
        <v>58</v>
      </c>
      <c r="G12" s="20">
        <v>9000</v>
      </c>
      <c r="H12" s="34">
        <v>4000</v>
      </c>
      <c r="I12" s="34">
        <f t="shared" ref="I12:I13" si="0">+G12-H12</f>
        <v>5000</v>
      </c>
    </row>
    <row r="13" spans="3:9" x14ac:dyDescent="0.35">
      <c r="C13" s="4" t="s">
        <v>84</v>
      </c>
      <c r="D13" s="14">
        <v>0</v>
      </c>
      <c r="F13" s="33" t="s">
        <v>3</v>
      </c>
      <c r="G13" s="40">
        <f>+G11+G12</f>
        <v>39000</v>
      </c>
      <c r="H13" s="38">
        <f>+H11+H12</f>
        <v>69000</v>
      </c>
      <c r="I13" s="17">
        <f t="shared" si="0"/>
        <v>-30000</v>
      </c>
    </row>
    <row r="14" spans="3:9" x14ac:dyDescent="0.35">
      <c r="C14" s="28" t="s">
        <v>43</v>
      </c>
      <c r="D14" s="29">
        <f>SUM(D3:D12)</f>
        <v>205000</v>
      </c>
    </row>
    <row r="16" spans="3:9" x14ac:dyDescent="0.35">
      <c r="C16" s="44" t="s">
        <v>48</v>
      </c>
      <c r="D16" s="45"/>
      <c r="F16" s="46" t="s">
        <v>62</v>
      </c>
      <c r="G16" s="46"/>
      <c r="H16" s="39">
        <f>+H13</f>
        <v>69000</v>
      </c>
    </row>
    <row r="17" spans="3:8" x14ac:dyDescent="0.35">
      <c r="C17" s="22" t="s">
        <v>44</v>
      </c>
      <c r="D17" s="12">
        <v>-612000</v>
      </c>
      <c r="F17" s="47" t="s">
        <v>63</v>
      </c>
      <c r="G17" s="47"/>
      <c r="H17" s="37">
        <f>+D14</f>
        <v>205000</v>
      </c>
    </row>
    <row r="18" spans="3:8" x14ac:dyDescent="0.35">
      <c r="C18" s="3" t="s">
        <v>46</v>
      </c>
      <c r="D18" s="9">
        <f>- (150000+225000+1440000)</f>
        <v>-1815000</v>
      </c>
      <c r="F18" s="47" t="s">
        <v>64</v>
      </c>
      <c r="G18" s="47"/>
      <c r="H18" s="37">
        <f>+D21</f>
        <v>-2592000</v>
      </c>
    </row>
    <row r="19" spans="3:8" x14ac:dyDescent="0.35">
      <c r="C19" s="3" t="s">
        <v>47</v>
      </c>
      <c r="D19" s="9">
        <v>585000</v>
      </c>
      <c r="F19" s="47" t="s">
        <v>65</v>
      </c>
      <c r="G19" s="47"/>
      <c r="H19" s="37">
        <f>+D29</f>
        <v>2357000</v>
      </c>
    </row>
    <row r="20" spans="3:8" x14ac:dyDescent="0.35">
      <c r="C20" s="3" t="s">
        <v>45</v>
      </c>
      <c r="D20" s="9">
        <f>- (210000+540000)</f>
        <v>-750000</v>
      </c>
      <c r="F20" s="46" t="s">
        <v>66</v>
      </c>
      <c r="G20" s="46"/>
      <c r="H20" s="40">
        <f>+H16+H17+H18+H19</f>
        <v>39000</v>
      </c>
    </row>
    <row r="21" spans="3:8" x14ac:dyDescent="0.35">
      <c r="C21" s="28" t="s">
        <v>48</v>
      </c>
      <c r="D21" s="29">
        <f>SUM(D17:D20)</f>
        <v>-2592000</v>
      </c>
    </row>
    <row r="23" spans="3:8" x14ac:dyDescent="0.35">
      <c r="C23" s="44" t="s">
        <v>52</v>
      </c>
      <c r="D23" s="45"/>
    </row>
    <row r="24" spans="3:8" x14ac:dyDescent="0.35">
      <c r="C24" s="22" t="s">
        <v>21</v>
      </c>
      <c r="D24" s="12">
        <f>1132500-230500</f>
        <v>902000</v>
      </c>
    </row>
    <row r="25" spans="3:8" x14ac:dyDescent="0.35">
      <c r="C25" s="3" t="s">
        <v>53</v>
      </c>
      <c r="D25" s="9">
        <v>-300000</v>
      </c>
    </row>
    <row r="26" spans="3:8" x14ac:dyDescent="0.35">
      <c r="C26" s="3" t="s">
        <v>54</v>
      </c>
      <c r="D26" s="9">
        <f>12000*(100+27.5)</f>
        <v>1530000</v>
      </c>
    </row>
    <row r="27" spans="3:8" x14ac:dyDescent="0.35">
      <c r="C27" s="3" t="s">
        <v>55</v>
      </c>
      <c r="D27" s="9">
        <v>-75000</v>
      </c>
    </row>
    <row r="28" spans="3:8" x14ac:dyDescent="0.35">
      <c r="C28" s="3" t="s">
        <v>56</v>
      </c>
      <c r="D28" s="9">
        <v>300000</v>
      </c>
    </row>
    <row r="29" spans="3:8" x14ac:dyDescent="0.35">
      <c r="C29" s="28" t="s">
        <v>48</v>
      </c>
      <c r="D29" s="29">
        <f>SUM(D24:D28)</f>
        <v>2357000</v>
      </c>
    </row>
  </sheetData>
  <mergeCells count="8">
    <mergeCell ref="C2:D2"/>
    <mergeCell ref="C16:D16"/>
    <mergeCell ref="C23:D23"/>
    <mergeCell ref="F16:G16"/>
    <mergeCell ref="F20:G20"/>
    <mergeCell ref="F17:G17"/>
    <mergeCell ref="F18:G18"/>
    <mergeCell ref="F19:G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SP riclassificato dati</vt:lpstr>
      <vt:lpstr>S.P. Riclassificato</vt:lpstr>
      <vt:lpstr>Debiti funzionam - finanziam</vt:lpstr>
      <vt:lpstr>Rendiconto finanziario D.L.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Caruso</dc:creator>
  <cp:lastModifiedBy>Luigi Caruso</cp:lastModifiedBy>
  <dcterms:created xsi:type="dcterms:W3CDTF">2015-06-05T18:19:34Z</dcterms:created>
  <dcterms:modified xsi:type="dcterms:W3CDTF">2023-10-11T09:18:30Z</dcterms:modified>
</cp:coreProperties>
</file>