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165lu\Desktop\Scuola\Materiale Economia Aziendale\5. Classe quinta\1. Rendiconto finanziario\"/>
    </mc:Choice>
  </mc:AlternateContent>
  <xr:revisionPtr revIDLastSave="0" documentId="13_ncr:1_{9960CAEC-5824-42BC-9D06-779B48D2ACFD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SP riclassificato dati" sheetId="8" r:id="rId1"/>
    <sheet name="S.P. Riclassificato" sheetId="1" r:id="rId2"/>
    <sheet name="Debiti funzionam - finanziam" sheetId="7" r:id="rId3"/>
    <sheet name="Rendiconto finanziario D.L.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6" l="1"/>
  <c r="D7" i="6"/>
  <c r="G4" i="1"/>
  <c r="D4" i="1"/>
  <c r="C4" i="1"/>
  <c r="E7" i="7"/>
  <c r="D11" i="6"/>
  <c r="H4" i="1"/>
  <c r="H7" i="8"/>
  <c r="D8" i="8"/>
  <c r="C8" i="8"/>
  <c r="D19" i="8"/>
  <c r="C19" i="8"/>
  <c r="H10" i="6"/>
  <c r="H11" i="6"/>
  <c r="G11" i="6"/>
  <c r="G10" i="6"/>
  <c r="D23" i="6"/>
  <c r="D22" i="6"/>
  <c r="D25" i="6" s="1"/>
  <c r="D17" i="6"/>
  <c r="D3" i="6"/>
  <c r="D3" i="7"/>
  <c r="E3" i="7" s="1"/>
  <c r="C3" i="7"/>
  <c r="C7" i="7" s="1"/>
  <c r="E4" i="7"/>
  <c r="E5" i="7"/>
  <c r="E6" i="7"/>
  <c r="D7" i="7"/>
  <c r="D12" i="6" l="1"/>
  <c r="D10" i="6"/>
  <c r="H19" i="8"/>
  <c r="H18" i="8" s="1"/>
  <c r="H6" i="1" s="1"/>
  <c r="G8" i="8"/>
  <c r="G7" i="8" s="1"/>
  <c r="G5" i="1" s="1"/>
  <c r="K3" i="8"/>
  <c r="G8" i="1" s="1"/>
  <c r="D13" i="8"/>
  <c r="D7" i="1" s="1"/>
  <c r="D8" i="6" s="1"/>
  <c r="C13" i="8"/>
  <c r="D9" i="1"/>
  <c r="L3" i="8"/>
  <c r="H8" i="1" s="1"/>
  <c r="G6" i="1"/>
  <c r="H5" i="1"/>
  <c r="G18" i="8"/>
  <c r="H3" i="8"/>
  <c r="D10" i="1" s="1"/>
  <c r="G3" i="8"/>
  <c r="C10" i="1" s="1"/>
  <c r="C9" i="1"/>
  <c r="C7" i="1"/>
  <c r="D6" i="1"/>
  <c r="C6" i="1"/>
  <c r="D3" i="8"/>
  <c r="D5" i="1" s="1"/>
  <c r="C3" i="8"/>
  <c r="C5" i="1" s="1"/>
  <c r="H12" i="6"/>
  <c r="H15" i="6" s="1"/>
  <c r="G12" i="6"/>
  <c r="I11" i="6"/>
  <c r="I10" i="6"/>
  <c r="I12" i="6" l="1"/>
  <c r="G7" i="1"/>
  <c r="H7" i="1"/>
  <c r="C8" i="1"/>
  <c r="D8" i="1"/>
  <c r="D12" i="1" l="1"/>
  <c r="H10" i="1"/>
  <c r="C12" i="1"/>
  <c r="G10" i="1"/>
  <c r="H17" i="6" l="1"/>
  <c r="H18" i="6"/>
  <c r="H16" i="6"/>
  <c r="H19" i="6" s="1"/>
  <c r="G5" i="6" s="1"/>
</calcChain>
</file>

<file path=xl/sharedStrings.xml><?xml version="1.0" encoding="utf-8"?>
<sst xmlns="http://schemas.openxmlformats.org/spreadsheetml/2006/main" count="116" uniqueCount="73">
  <si>
    <t>IMPIEGHI</t>
  </si>
  <si>
    <t>FONTI</t>
  </si>
  <si>
    <t>Attivo corrente</t>
  </si>
  <si>
    <t>Disponibilità liquide</t>
  </si>
  <si>
    <t>Rimanenze</t>
  </si>
  <si>
    <t>Attivo immobilizzato</t>
  </si>
  <si>
    <t>Immobilizzazioni materiali</t>
  </si>
  <si>
    <t>Immobilizzazioni immateriali</t>
  </si>
  <si>
    <t>Immobilizzazioni finanziarie</t>
  </si>
  <si>
    <t>TOTALE IMPIEGHI</t>
  </si>
  <si>
    <t>Debiti a breve scadenza</t>
  </si>
  <si>
    <t>Debiti a M.L. scadenza</t>
  </si>
  <si>
    <t>Capitale di debito</t>
  </si>
  <si>
    <t>Patrimonio netto</t>
  </si>
  <si>
    <t>Capitale proprio</t>
  </si>
  <si>
    <t>TOTALE FONTI</t>
  </si>
  <si>
    <t>31/12/N</t>
  </si>
  <si>
    <t>Reddito d'esercizio</t>
  </si>
  <si>
    <t>Obbligazioni in scadenza</t>
  </si>
  <si>
    <t>Debiti v/ banche</t>
  </si>
  <si>
    <t>Debiti v/ fornitori</t>
  </si>
  <si>
    <t>Debiti tributari</t>
  </si>
  <si>
    <t>Ratei e risconti passivi</t>
  </si>
  <si>
    <t>SP RICLASSIFICATO SECONDO I CRITERI FINANZIARI</t>
  </si>
  <si>
    <t>Utile d'esercizio</t>
  </si>
  <si>
    <t>Ratei e risconti attivi</t>
  </si>
  <si>
    <t>Disponibilità finanziarie</t>
  </si>
  <si>
    <t>FLUSSO FINANZIARIO DELL'ATTIVITA' OPERATIVA</t>
  </si>
  <si>
    <t>(ricavo non monetario)</t>
  </si>
  <si>
    <t>(costo non monetario)</t>
  </si>
  <si>
    <t>31/12/N-1</t>
  </si>
  <si>
    <t>- Aumento ratei e risconti attivi</t>
  </si>
  <si>
    <t>+ Aumento ratei e risconti passivi</t>
  </si>
  <si>
    <t xml:space="preserve"> - Aumento crediti a breve</t>
  </si>
  <si>
    <t>TOTALE FLUSSO FINANZIARIO ATTIVITA' OPERATIVA</t>
  </si>
  <si>
    <t>Acquisto immobilizzazioni immateriali</t>
  </si>
  <si>
    <t>Vendite immobilizzazioni materiali</t>
  </si>
  <si>
    <t>FLUSSO FINANZIARIO ATTIVITA' DI INVESTIMENTO</t>
  </si>
  <si>
    <t>Debiti di funzionamento</t>
  </si>
  <si>
    <t>Debiti di finanziamento</t>
  </si>
  <si>
    <t>Obbligazioni</t>
  </si>
  <si>
    <t>+ Aumento debiti funzionamento</t>
  </si>
  <si>
    <t>FLUSSO FINANZIARIO ATTIVITA' DI FINANZIAMENTO</t>
  </si>
  <si>
    <t>Rimborso obbligazioni</t>
  </si>
  <si>
    <t>Depositi bancari e postali</t>
  </si>
  <si>
    <t>Denaro in banca</t>
  </si>
  <si>
    <t>N</t>
  </si>
  <si>
    <t>N-1</t>
  </si>
  <si>
    <t>Var.</t>
  </si>
  <si>
    <t>Disponibilità liquide al 31/12/N-1</t>
  </si>
  <si>
    <t>Flusso attività operativa</t>
  </si>
  <si>
    <t>Flusso attività investimento</t>
  </si>
  <si>
    <t>Flusso attività finanziamento</t>
  </si>
  <si>
    <t>Disponibilità liquide al 31/12/N</t>
  </si>
  <si>
    <t>Denaro e valori in cassa</t>
  </si>
  <si>
    <t>Prodotti finiti e merci</t>
  </si>
  <si>
    <t>Terreni e fabbricati</t>
  </si>
  <si>
    <t>Impianti e macchinari</t>
  </si>
  <si>
    <t>Altri beni</t>
  </si>
  <si>
    <t>Riserva legale</t>
  </si>
  <si>
    <t>Altre riserve</t>
  </si>
  <si>
    <t>Diritti brevetto industriale, ecc..</t>
  </si>
  <si>
    <t>Materie prime, sussid,…</t>
  </si>
  <si>
    <t>Prodotti in corso di lavorazione</t>
  </si>
  <si>
    <t>Crediti verso clienti</t>
  </si>
  <si>
    <t>Debiti v/ istituti previdenza</t>
  </si>
  <si>
    <t>Altri debiti</t>
  </si>
  <si>
    <t>Plusvalenze</t>
  </si>
  <si>
    <t>Ammortamento immobilizzazioni materiali</t>
  </si>
  <si>
    <t>Ammortamento immobilizzazioni immateriali</t>
  </si>
  <si>
    <t xml:space="preserve"> + Aumento rimanenze</t>
  </si>
  <si>
    <t>TOTALE DEBITI DI FUNZIONAMENTO</t>
  </si>
  <si>
    <t>Pagamento dividendi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</si>
</sst>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50">
    <xf numFmtId="0" fontId="0" fillId="0" borderId="0" xfId="0"/>
    <xf numFmtId="0" fontId="2" fillId="0" borderId="0" xfId="0" applyFont="1"/>
    <xf numFmtId="0" fontId="3" fillId="0" borderId="2" xfId="0" applyFont="1" applyBorder="1"/>
    <xf numFmtId="0" fontId="2" fillId="0" borderId="2" xfId="0" applyFont="1" applyBorder="1"/>
    <xf numFmtId="0" fontId="2" fillId="0" borderId="4" xfId="0" applyFont="1" applyBorder="1"/>
    <xf numFmtId="0" fontId="1" fillId="0" borderId="6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10" xfId="0" applyFont="1" applyBorder="1"/>
    <xf numFmtId="164" fontId="2" fillId="0" borderId="3" xfId="1" applyNumberFormat="1" applyFont="1" applyBorder="1"/>
    <xf numFmtId="164" fontId="2" fillId="0" borderId="8" xfId="1" applyNumberFormat="1" applyFont="1" applyBorder="1"/>
    <xf numFmtId="164" fontId="2" fillId="0" borderId="0" xfId="1" applyNumberFormat="1" applyFont="1"/>
    <xf numFmtId="164" fontId="2" fillId="0" borderId="1" xfId="1" applyNumberFormat="1" applyFont="1" applyBorder="1"/>
    <xf numFmtId="164" fontId="3" fillId="0" borderId="3" xfId="1" applyNumberFormat="1" applyFont="1" applyBorder="1"/>
    <xf numFmtId="164" fontId="2" fillId="0" borderId="5" xfId="1" applyNumberFormat="1" applyFont="1" applyBorder="1"/>
    <xf numFmtId="164" fontId="2" fillId="0" borderId="11" xfId="1" applyNumberFormat="1" applyFont="1" applyBorder="1"/>
    <xf numFmtId="164" fontId="3" fillId="0" borderId="2" xfId="1" applyNumberFormat="1" applyFont="1" applyBorder="1"/>
    <xf numFmtId="164" fontId="1" fillId="0" borderId="5" xfId="1" applyNumberFormat="1" applyFont="1" applyBorder="1"/>
    <xf numFmtId="164" fontId="1" fillId="0" borderId="3" xfId="1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164" fontId="1" fillId="0" borderId="10" xfId="1" applyNumberFormat="1" applyFont="1" applyBorder="1"/>
    <xf numFmtId="0" fontId="2" fillId="0" borderId="12" xfId="0" applyFont="1" applyBorder="1"/>
    <xf numFmtId="164" fontId="3" fillId="0" borderId="8" xfId="1" applyNumberFormat="1" applyFont="1" applyBorder="1"/>
    <xf numFmtId="0" fontId="3" fillId="0" borderId="12" xfId="0" applyFont="1" applyBorder="1"/>
    <xf numFmtId="164" fontId="3" fillId="0" borderId="1" xfId="1" applyNumberFormat="1" applyFont="1" applyBorder="1"/>
    <xf numFmtId="164" fontId="2" fillId="0" borderId="2" xfId="1" quotePrefix="1" applyNumberFormat="1" applyFont="1" applyBorder="1"/>
    <xf numFmtId="0" fontId="2" fillId="0" borderId="2" xfId="0" quotePrefix="1" applyFont="1" applyBorder="1"/>
    <xf numFmtId="0" fontId="2" fillId="0" borderId="4" xfId="0" quotePrefix="1" applyFont="1" applyBorder="1"/>
    <xf numFmtId="0" fontId="1" fillId="3" borderId="6" xfId="0" applyFont="1" applyFill="1" applyBorder="1"/>
    <xf numFmtId="164" fontId="1" fillId="3" borderId="7" xfId="1" applyNumberFormat="1" applyFont="1" applyFill="1" applyBorder="1"/>
    <xf numFmtId="164" fontId="3" fillId="0" borderId="9" xfId="1" applyNumberFormat="1" applyFont="1" applyBorder="1"/>
    <xf numFmtId="164" fontId="1" fillId="0" borderId="11" xfId="1" applyNumberFormat="1" applyFont="1" applyBorder="1"/>
    <xf numFmtId="0" fontId="2" fillId="0" borderId="6" xfId="0" applyFont="1" applyBorder="1"/>
    <xf numFmtId="0" fontId="1" fillId="0" borderId="4" xfId="0" applyFont="1" applyBorder="1"/>
    <xf numFmtId="164" fontId="2" fillId="0" borderId="7" xfId="1" applyNumberFormat="1" applyFont="1" applyBorder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164" fontId="2" fillId="0" borderId="10" xfId="0" applyNumberFormat="1" applyFont="1" applyBorder="1"/>
    <xf numFmtId="164" fontId="1" fillId="4" borderId="5" xfId="1" applyNumberFormat="1" applyFont="1" applyFill="1" applyBorder="1"/>
    <xf numFmtId="164" fontId="1" fillId="4" borderId="10" xfId="0" applyNumberFormat="1" applyFont="1" applyFill="1" applyBorder="1"/>
    <xf numFmtId="164" fontId="1" fillId="5" borderId="11" xfId="1" applyNumberFormat="1" applyFont="1" applyFill="1" applyBorder="1"/>
    <xf numFmtId="164" fontId="2" fillId="0" borderId="10" xfId="1" applyNumberFormat="1" applyFont="1" applyBorder="1" applyAlignment="1">
      <alignment horizontal="center"/>
    </xf>
    <xf numFmtId="164" fontId="2" fillId="0" borderId="9" xfId="1" applyNumberFormat="1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164" fontId="2" fillId="0" borderId="0" xfId="0" applyNumberFormat="1" applyFont="1"/>
  </cellXfs>
  <cellStyles count="2">
    <cellStyle name="Migliaia" xfId="1" builtinId="3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90F80-9B1D-4D32-B135-0F1FC8EA885C}">
  <dimension ref="B2:L22"/>
  <sheetViews>
    <sheetView workbookViewId="0">
      <selection activeCell="H7" sqref="H7"/>
    </sheetView>
  </sheetViews>
  <sheetFormatPr defaultRowHeight="18" x14ac:dyDescent="0.35"/>
  <cols>
    <col min="1" max="1" width="4.33203125" style="11" customWidth="1"/>
    <col min="2" max="2" width="42" style="11" bestFit="1" customWidth="1"/>
    <col min="3" max="3" width="13.44140625" style="11" bestFit="1" customWidth="1"/>
    <col min="4" max="4" width="13.33203125" style="11" bestFit="1" customWidth="1"/>
    <col min="5" max="5" width="3.5546875" style="11" customWidth="1"/>
    <col min="6" max="6" width="36" style="11" bestFit="1" customWidth="1"/>
    <col min="7" max="8" width="13.33203125" style="11" bestFit="1" customWidth="1"/>
    <col min="9" max="9" width="4.88671875" style="11" customWidth="1"/>
    <col min="10" max="10" width="29.88671875" style="11" bestFit="1" customWidth="1"/>
    <col min="11" max="12" width="13.33203125" style="11" bestFit="1" customWidth="1"/>
    <col min="13" max="16384" width="8.88671875" style="11"/>
  </cols>
  <sheetData>
    <row r="2" spans="2:12" x14ac:dyDescent="0.35">
      <c r="C2" s="42" t="s">
        <v>46</v>
      </c>
      <c r="D2" s="42" t="s">
        <v>47</v>
      </c>
      <c r="G2" s="43" t="s">
        <v>46</v>
      </c>
      <c r="H2" s="43" t="s">
        <v>47</v>
      </c>
      <c r="K2" s="43" t="s">
        <v>46</v>
      </c>
      <c r="L2" s="43" t="s">
        <v>47</v>
      </c>
    </row>
    <row r="3" spans="2:12" x14ac:dyDescent="0.35">
      <c r="B3" s="21" t="s">
        <v>3</v>
      </c>
      <c r="C3" s="21">
        <f>+C4+C5</f>
        <v>573270</v>
      </c>
      <c r="D3" s="21">
        <f>+D4+D5</f>
        <v>240045</v>
      </c>
      <c r="F3" s="21" t="s">
        <v>7</v>
      </c>
      <c r="G3" s="21">
        <f>+G4+G5</f>
        <v>150000</v>
      </c>
      <c r="H3" s="21">
        <f>+H4+H5</f>
        <v>135000</v>
      </c>
      <c r="J3" s="21" t="s">
        <v>14</v>
      </c>
      <c r="K3" s="21">
        <f>SUM(K4:K7)</f>
        <v>5393214</v>
      </c>
      <c r="L3" s="21">
        <f>SUM(L4:L7)</f>
        <v>5363214</v>
      </c>
    </row>
    <row r="4" spans="2:12" x14ac:dyDescent="0.35">
      <c r="B4" s="20" t="s">
        <v>44</v>
      </c>
      <c r="C4" s="20">
        <v>545520</v>
      </c>
      <c r="D4" s="42">
        <v>231045</v>
      </c>
      <c r="F4" s="20" t="s">
        <v>61</v>
      </c>
      <c r="G4" s="20">
        <v>150000</v>
      </c>
      <c r="H4" s="20">
        <v>135000</v>
      </c>
      <c r="J4" s="20" t="s">
        <v>14</v>
      </c>
      <c r="K4" s="20">
        <v>3000000</v>
      </c>
      <c r="L4" s="20">
        <v>3000000</v>
      </c>
    </row>
    <row r="5" spans="2:12" x14ac:dyDescent="0.35">
      <c r="B5" s="20" t="s">
        <v>54</v>
      </c>
      <c r="C5" s="20">
        <v>27750</v>
      </c>
      <c r="D5" s="20">
        <v>9000</v>
      </c>
      <c r="J5" s="20" t="s">
        <v>59</v>
      </c>
      <c r="K5" s="20">
        <v>1221000</v>
      </c>
      <c r="L5" s="20">
        <v>1200000</v>
      </c>
    </row>
    <row r="6" spans="2:12" x14ac:dyDescent="0.35">
      <c r="G6" s="43" t="s">
        <v>46</v>
      </c>
      <c r="H6" s="43" t="s">
        <v>47</v>
      </c>
      <c r="J6" s="20" t="s">
        <v>60</v>
      </c>
      <c r="K6" s="20">
        <v>1172214</v>
      </c>
      <c r="L6" s="20">
        <v>1163214</v>
      </c>
    </row>
    <row r="7" spans="2:12" x14ac:dyDescent="0.35">
      <c r="C7" s="43" t="s">
        <v>46</v>
      </c>
      <c r="D7" s="43" t="s">
        <v>47</v>
      </c>
      <c r="F7" s="8" t="s">
        <v>10</v>
      </c>
      <c r="G7" s="21">
        <f>SUM(G8:G15)</f>
        <v>4123131</v>
      </c>
      <c r="H7" s="21">
        <f>SUM(H8:H15)</f>
        <v>3917331</v>
      </c>
    </row>
    <row r="8" spans="2:12" x14ac:dyDescent="0.35">
      <c r="B8" s="21" t="s">
        <v>26</v>
      </c>
      <c r="C8" s="21">
        <f>+C9+C10</f>
        <v>3835500</v>
      </c>
      <c r="D8" s="21">
        <f>+D9+D10</f>
        <v>3645000</v>
      </c>
      <c r="F8" s="19" t="s">
        <v>18</v>
      </c>
      <c r="G8" s="20">
        <f>3600000-2700000</f>
        <v>900000</v>
      </c>
      <c r="H8" s="20">
        <v>900000</v>
      </c>
    </row>
    <row r="9" spans="2:12" x14ac:dyDescent="0.35">
      <c r="B9" s="20" t="s">
        <v>64</v>
      </c>
      <c r="C9" s="20">
        <v>3750000</v>
      </c>
      <c r="D9" s="20">
        <v>3600000</v>
      </c>
      <c r="F9" s="19" t="s">
        <v>19</v>
      </c>
      <c r="G9" s="20">
        <v>750000</v>
      </c>
      <c r="H9" s="20">
        <v>726000</v>
      </c>
    </row>
    <row r="10" spans="2:12" x14ac:dyDescent="0.35">
      <c r="B10" s="20" t="s">
        <v>25</v>
      </c>
      <c r="C10" s="20">
        <v>85500</v>
      </c>
      <c r="D10" s="20">
        <v>45000</v>
      </c>
      <c r="F10" s="19" t="s">
        <v>20</v>
      </c>
      <c r="G10" s="20">
        <v>1575000</v>
      </c>
      <c r="H10" s="20">
        <v>1576200</v>
      </c>
    </row>
    <row r="11" spans="2:12" x14ac:dyDescent="0.35">
      <c r="F11" s="19" t="s">
        <v>21</v>
      </c>
      <c r="G11" s="20">
        <v>398700</v>
      </c>
      <c r="H11" s="20">
        <v>229500</v>
      </c>
    </row>
    <row r="12" spans="2:12" x14ac:dyDescent="0.35">
      <c r="C12" s="43" t="s">
        <v>46</v>
      </c>
      <c r="D12" s="43" t="s">
        <v>47</v>
      </c>
      <c r="F12" s="19" t="s">
        <v>65</v>
      </c>
      <c r="G12" s="20">
        <v>322500</v>
      </c>
      <c r="H12" s="20">
        <v>331200</v>
      </c>
    </row>
    <row r="13" spans="2:12" x14ac:dyDescent="0.35">
      <c r="B13" s="21" t="s">
        <v>4</v>
      </c>
      <c r="C13" s="21">
        <f>+C14+C15+C16</f>
        <v>2500500</v>
      </c>
      <c r="D13" s="21">
        <f>+D14+D15+D16</f>
        <v>2550000</v>
      </c>
      <c r="F13" s="19" t="s">
        <v>66</v>
      </c>
      <c r="G13" s="20">
        <v>34431</v>
      </c>
      <c r="H13" s="20">
        <v>34431</v>
      </c>
    </row>
    <row r="14" spans="2:12" x14ac:dyDescent="0.35">
      <c r="B14" s="20" t="s">
        <v>62</v>
      </c>
      <c r="C14" s="20">
        <v>870000</v>
      </c>
      <c r="D14" s="20">
        <v>900000</v>
      </c>
      <c r="F14" s="19" t="s">
        <v>22</v>
      </c>
      <c r="G14" s="20">
        <v>142500</v>
      </c>
      <c r="H14" s="20">
        <v>120000</v>
      </c>
    </row>
    <row r="15" spans="2:12" x14ac:dyDescent="0.35">
      <c r="B15" s="20" t="s">
        <v>63</v>
      </c>
      <c r="C15" s="20">
        <v>355500</v>
      </c>
      <c r="D15" s="20">
        <v>450000</v>
      </c>
      <c r="F15" s="19"/>
      <c r="G15" s="20"/>
      <c r="H15" s="20"/>
    </row>
    <row r="16" spans="2:12" x14ac:dyDescent="0.35">
      <c r="B16" s="20" t="s">
        <v>55</v>
      </c>
      <c r="C16" s="20">
        <v>1275000</v>
      </c>
      <c r="D16" s="20">
        <v>1200000</v>
      </c>
    </row>
    <row r="17" spans="2:8" x14ac:dyDescent="0.35">
      <c r="G17" s="43" t="s">
        <v>46</v>
      </c>
      <c r="H17" s="43" t="s">
        <v>47</v>
      </c>
    </row>
    <row r="18" spans="2:8" x14ac:dyDescent="0.35">
      <c r="C18" s="43" t="s">
        <v>46</v>
      </c>
      <c r="D18" s="43" t="s">
        <v>47</v>
      </c>
      <c r="F18" s="8" t="s">
        <v>11</v>
      </c>
      <c r="G18" s="21">
        <f>+G20+G21+G19</f>
        <v>2700000</v>
      </c>
      <c r="H18" s="21">
        <f>+H20+H21+H19</f>
        <v>3600000</v>
      </c>
    </row>
    <row r="19" spans="2:8" x14ac:dyDescent="0.35">
      <c r="B19" s="21" t="s">
        <v>6</v>
      </c>
      <c r="C19" s="21">
        <f>+C20+C22+C21</f>
        <v>5434575</v>
      </c>
      <c r="D19" s="21">
        <f>+D20+D22+D21</f>
        <v>6730500</v>
      </c>
      <c r="F19" s="20" t="s">
        <v>40</v>
      </c>
      <c r="G19" s="20">
        <v>2700000</v>
      </c>
      <c r="H19" s="20">
        <f>-900000+4500000</f>
        <v>3600000</v>
      </c>
    </row>
    <row r="20" spans="2:8" x14ac:dyDescent="0.35">
      <c r="B20" s="20" t="s">
        <v>56</v>
      </c>
      <c r="C20" s="20">
        <v>3174000</v>
      </c>
      <c r="D20" s="20">
        <v>3279000</v>
      </c>
      <c r="F20" s="20"/>
      <c r="G20" s="20"/>
      <c r="H20" s="20"/>
    </row>
    <row r="21" spans="2:8" x14ac:dyDescent="0.35">
      <c r="B21" s="20" t="s">
        <v>57</v>
      </c>
      <c r="C21" s="20">
        <v>2179575</v>
      </c>
      <c r="D21" s="20">
        <v>3330000</v>
      </c>
      <c r="F21" s="20"/>
      <c r="G21" s="20"/>
      <c r="H21" s="20"/>
    </row>
    <row r="22" spans="2:8" x14ac:dyDescent="0.35">
      <c r="B22" s="20" t="s">
        <v>58</v>
      </c>
      <c r="C22" s="20">
        <v>81000</v>
      </c>
      <c r="D22" s="20">
        <v>121500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2"/>
  <sheetViews>
    <sheetView topLeftCell="A2" workbookViewId="0">
      <selection activeCell="M9" sqref="M9"/>
    </sheetView>
  </sheetViews>
  <sheetFormatPr defaultRowHeight="18" x14ac:dyDescent="0.35"/>
  <cols>
    <col min="1" max="1" width="8.88671875" style="1"/>
    <col min="2" max="2" width="31.6640625" style="1" customWidth="1"/>
    <col min="3" max="4" width="14.6640625" style="1" bestFit="1" customWidth="1"/>
    <col min="5" max="5" width="7.88671875" style="1" customWidth="1"/>
    <col min="6" max="6" width="27.21875" style="1" bestFit="1" customWidth="1"/>
    <col min="7" max="8" width="15.5546875" style="1" bestFit="1" customWidth="1"/>
    <col min="9" max="10" width="13.33203125" style="1" bestFit="1" customWidth="1"/>
    <col min="11" max="16384" width="8.88671875" style="1"/>
  </cols>
  <sheetData>
    <row r="1" spans="2:8" x14ac:dyDescent="0.35">
      <c r="B1" s="44" t="s">
        <v>23</v>
      </c>
      <c r="C1" s="44"/>
      <c r="D1" s="44"/>
    </row>
    <row r="3" spans="2:8" x14ac:dyDescent="0.35">
      <c r="B3" s="5" t="s">
        <v>0</v>
      </c>
      <c r="C3" s="7" t="s">
        <v>16</v>
      </c>
      <c r="D3" s="7" t="s">
        <v>30</v>
      </c>
      <c r="F3" s="5" t="s">
        <v>1</v>
      </c>
      <c r="G3" s="8" t="s">
        <v>16</v>
      </c>
      <c r="H3" s="7" t="s">
        <v>30</v>
      </c>
    </row>
    <row r="4" spans="2:8" x14ac:dyDescent="0.35">
      <c r="B4" s="2" t="s">
        <v>2</v>
      </c>
      <c r="C4" s="18">
        <f>+C5+C6+C7</f>
        <v>6909270</v>
      </c>
      <c r="D4" s="18">
        <f>+D5+D6+D7</f>
        <v>6435045</v>
      </c>
      <c r="F4" s="16" t="s">
        <v>12</v>
      </c>
      <c r="G4" s="23">
        <f>+G5+G6</f>
        <v>6823131</v>
      </c>
      <c r="H4" s="23">
        <f>+H5+H6</f>
        <v>7517331</v>
      </c>
    </row>
    <row r="5" spans="2:8" x14ac:dyDescent="0.35">
      <c r="B5" s="3" t="s">
        <v>3</v>
      </c>
      <c r="C5" s="9">
        <f>+'SP riclassificato dati'!C3</f>
        <v>573270</v>
      </c>
      <c r="D5" s="9">
        <f>+'SP riclassificato dati'!D3</f>
        <v>240045</v>
      </c>
      <c r="F5" s="3" t="s">
        <v>10</v>
      </c>
      <c r="G5" s="10">
        <f>+'SP riclassificato dati'!G7</f>
        <v>4123131</v>
      </c>
      <c r="H5" s="10">
        <f>+'SP riclassificato dati'!H7</f>
        <v>3917331</v>
      </c>
    </row>
    <row r="6" spans="2:8" x14ac:dyDescent="0.35">
      <c r="B6" s="3" t="s">
        <v>26</v>
      </c>
      <c r="C6" s="9">
        <f>+'SP riclassificato dati'!C8</f>
        <v>3835500</v>
      </c>
      <c r="D6" s="9">
        <f>+'SP riclassificato dati'!D8</f>
        <v>3645000</v>
      </c>
      <c r="F6" s="4" t="s">
        <v>11</v>
      </c>
      <c r="G6" s="15">
        <f>+'SP riclassificato dati'!G18</f>
        <v>2700000</v>
      </c>
      <c r="H6" s="15">
        <f>+'SP riclassificato dati'!H18</f>
        <v>3600000</v>
      </c>
    </row>
    <row r="7" spans="2:8" x14ac:dyDescent="0.35">
      <c r="B7" s="3" t="s">
        <v>4</v>
      </c>
      <c r="C7" s="9">
        <f>+'SP riclassificato dati'!C13</f>
        <v>2500500</v>
      </c>
      <c r="D7" s="9">
        <f>+'SP riclassificato dati'!D13</f>
        <v>2550000</v>
      </c>
      <c r="F7" s="31" t="s">
        <v>13</v>
      </c>
      <c r="G7" s="13">
        <f>+G8+G9</f>
        <v>5670714</v>
      </c>
      <c r="H7" s="13">
        <f>+H8+H9</f>
        <v>5783214</v>
      </c>
    </row>
    <row r="8" spans="2:8" x14ac:dyDescent="0.35">
      <c r="B8" s="2" t="s">
        <v>5</v>
      </c>
      <c r="C8" s="18">
        <f>+C9+C10+C11</f>
        <v>5584575</v>
      </c>
      <c r="D8" s="18">
        <f>+D9+D10+D11</f>
        <v>6865500</v>
      </c>
      <c r="F8" s="10" t="s">
        <v>14</v>
      </c>
      <c r="G8" s="9">
        <f>+'SP riclassificato dati'!K3</f>
        <v>5393214</v>
      </c>
      <c r="H8" s="9">
        <f>+'SP riclassificato dati'!L3</f>
        <v>5363214</v>
      </c>
    </row>
    <row r="9" spans="2:8" x14ac:dyDescent="0.35">
      <c r="B9" s="3" t="s">
        <v>6</v>
      </c>
      <c r="C9" s="9">
        <f>+'SP riclassificato dati'!C19</f>
        <v>5434575</v>
      </c>
      <c r="D9" s="9">
        <f>+'SP riclassificato dati'!D19</f>
        <v>6730500</v>
      </c>
      <c r="F9" s="15" t="s">
        <v>17</v>
      </c>
      <c r="G9" s="14">
        <v>277500</v>
      </c>
      <c r="H9" s="14">
        <v>420000</v>
      </c>
    </row>
    <row r="10" spans="2:8" x14ac:dyDescent="0.35">
      <c r="B10" s="3" t="s">
        <v>7</v>
      </c>
      <c r="C10" s="9">
        <f>+'SP riclassificato dati'!G3</f>
        <v>150000</v>
      </c>
      <c r="D10" s="9">
        <f>+'SP riclassificato dati'!H3</f>
        <v>135000</v>
      </c>
      <c r="F10" s="32" t="s">
        <v>15</v>
      </c>
      <c r="G10" s="17">
        <f>+G4+G7</f>
        <v>12493845</v>
      </c>
      <c r="H10" s="17">
        <f>+H4+H7</f>
        <v>13300545</v>
      </c>
    </row>
    <row r="11" spans="2:8" x14ac:dyDescent="0.35">
      <c r="B11" s="3" t="s">
        <v>8</v>
      </c>
      <c r="C11" s="14"/>
      <c r="D11" s="14"/>
    </row>
    <row r="12" spans="2:8" x14ac:dyDescent="0.35">
      <c r="B12" s="6" t="s">
        <v>9</v>
      </c>
      <c r="C12" s="17">
        <f>+C4+C8</f>
        <v>12493845</v>
      </c>
      <c r="D12" s="17">
        <f>+D4+D8</f>
        <v>13300545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57602-7DB9-4F18-8BAD-8311DD4DEDBD}">
  <dimension ref="B2:I8"/>
  <sheetViews>
    <sheetView workbookViewId="0">
      <selection activeCell="D22" sqref="D22"/>
    </sheetView>
  </sheetViews>
  <sheetFormatPr defaultRowHeight="14.4" x14ac:dyDescent="0.3"/>
  <cols>
    <col min="2" max="2" width="46" bestFit="1" customWidth="1"/>
    <col min="3" max="4" width="13.33203125" bestFit="1" customWidth="1"/>
    <col min="5" max="5" width="11.21875" bestFit="1" customWidth="1"/>
    <col min="6" max="6" width="31.5546875" bestFit="1" customWidth="1"/>
    <col min="7" max="7" width="26.33203125" bestFit="1" customWidth="1"/>
    <col min="8" max="9" width="13.33203125" bestFit="1" customWidth="1"/>
  </cols>
  <sheetData>
    <row r="2" spans="2:9" ht="18" x14ac:dyDescent="0.35">
      <c r="B2" s="8" t="s">
        <v>38</v>
      </c>
      <c r="C2" s="8" t="s">
        <v>16</v>
      </c>
      <c r="D2" s="7" t="s">
        <v>30</v>
      </c>
      <c r="G2" s="8" t="s">
        <v>39</v>
      </c>
      <c r="H2" s="8" t="s">
        <v>16</v>
      </c>
      <c r="I2" s="7" t="s">
        <v>30</v>
      </c>
    </row>
    <row r="3" spans="2:9" ht="18" x14ac:dyDescent="0.35">
      <c r="B3" s="19" t="s">
        <v>20</v>
      </c>
      <c r="C3" s="20">
        <f>+'SP riclassificato dati'!G10</f>
        <v>1575000</v>
      </c>
      <c r="D3" s="20">
        <f>+'SP riclassificato dati'!H10</f>
        <v>1576200</v>
      </c>
      <c r="E3" s="20">
        <f>+C3-D3</f>
        <v>-1200</v>
      </c>
      <c r="G3" s="19" t="s">
        <v>40</v>
      </c>
      <c r="H3" s="20">
        <v>3600000</v>
      </c>
      <c r="I3" s="20">
        <v>4500000</v>
      </c>
    </row>
    <row r="4" spans="2:9" ht="18" x14ac:dyDescent="0.35">
      <c r="B4" s="19" t="s">
        <v>21</v>
      </c>
      <c r="C4" s="20">
        <v>398700</v>
      </c>
      <c r="D4" s="20">
        <v>229500</v>
      </c>
      <c r="E4" s="20">
        <f t="shared" ref="E4:E7" si="0">+C4-D4</f>
        <v>169200</v>
      </c>
      <c r="G4" s="19" t="s">
        <v>19</v>
      </c>
      <c r="H4" s="20">
        <v>750000</v>
      </c>
      <c r="I4" s="20">
        <v>726000</v>
      </c>
    </row>
    <row r="5" spans="2:9" ht="18" x14ac:dyDescent="0.35">
      <c r="B5" s="19" t="s">
        <v>65</v>
      </c>
      <c r="C5" s="20">
        <v>322500</v>
      </c>
      <c r="D5" s="20">
        <v>331200</v>
      </c>
      <c r="E5" s="20">
        <f t="shared" si="0"/>
        <v>-8700</v>
      </c>
      <c r="G5" s="19"/>
      <c r="H5" s="20"/>
      <c r="I5" s="20"/>
    </row>
    <row r="6" spans="2:9" ht="18" x14ac:dyDescent="0.35">
      <c r="B6" s="19" t="s">
        <v>66</v>
      </c>
      <c r="C6" s="20">
        <v>34431</v>
      </c>
      <c r="D6" s="20">
        <v>34431</v>
      </c>
      <c r="E6" s="20">
        <f t="shared" si="0"/>
        <v>0</v>
      </c>
      <c r="G6" s="8"/>
      <c r="H6" s="21"/>
      <c r="I6" s="21"/>
    </row>
    <row r="7" spans="2:9" ht="18" x14ac:dyDescent="0.35">
      <c r="B7" s="8" t="s">
        <v>71</v>
      </c>
      <c r="C7" s="21">
        <f>SUM(C3:C6)</f>
        <v>2330631</v>
      </c>
      <c r="D7" s="21">
        <f>SUM(D3:D6)</f>
        <v>2171331</v>
      </c>
      <c r="E7" s="21">
        <f>+C7-D7</f>
        <v>159300</v>
      </c>
    </row>
    <row r="8" spans="2:9" ht="18" x14ac:dyDescent="0.35">
      <c r="B8" s="8"/>
      <c r="C8" s="21"/>
      <c r="D8" s="2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68A31-74F1-4D23-A90B-EC26A0BA160C}">
  <dimension ref="C2:I26"/>
  <sheetViews>
    <sheetView tabSelected="1" workbookViewId="0">
      <selection activeCell="F4" sqref="F4"/>
    </sheetView>
  </sheetViews>
  <sheetFormatPr defaultRowHeight="18" x14ac:dyDescent="0.35"/>
  <cols>
    <col min="1" max="2" width="8.88671875" style="1"/>
    <col min="3" max="3" width="58.109375" style="1" bestFit="1" customWidth="1"/>
    <col min="4" max="4" width="13.33203125" style="11" bestFit="1" customWidth="1"/>
    <col min="5" max="5" width="25" style="1" bestFit="1" customWidth="1"/>
    <col min="6" max="6" width="27.33203125" style="1" bestFit="1" customWidth="1"/>
    <col min="7" max="7" width="13.44140625" style="1" bestFit="1" customWidth="1"/>
    <col min="8" max="8" width="13.33203125" style="1" bestFit="1" customWidth="1"/>
    <col min="9" max="9" width="11.21875" style="1" bestFit="1" customWidth="1"/>
    <col min="10" max="16384" width="8.88671875" style="1"/>
  </cols>
  <sheetData>
    <row r="2" spans="3:9" x14ac:dyDescent="0.35">
      <c r="C2" s="45" t="s">
        <v>27</v>
      </c>
      <c r="D2" s="46"/>
    </row>
    <row r="3" spans="3:9" x14ac:dyDescent="0.35">
      <c r="C3" s="24" t="s">
        <v>24</v>
      </c>
      <c r="D3" s="25">
        <f>+'S.P. Riclassificato'!G9</f>
        <v>277500</v>
      </c>
    </row>
    <row r="4" spans="3:9" x14ac:dyDescent="0.35">
      <c r="C4" s="26" t="s">
        <v>67</v>
      </c>
      <c r="D4" s="9">
        <v>-20000</v>
      </c>
      <c r="E4" s="1" t="s">
        <v>28</v>
      </c>
    </row>
    <row r="5" spans="3:9" x14ac:dyDescent="0.35">
      <c r="C5" s="26" t="s">
        <v>68</v>
      </c>
      <c r="D5" s="9">
        <v>285000</v>
      </c>
      <c r="E5" s="1" t="s">
        <v>29</v>
      </c>
      <c r="G5" s="49">
        <f>+H19-G12</f>
        <v>0</v>
      </c>
    </row>
    <row r="6" spans="3:9" x14ac:dyDescent="0.35">
      <c r="C6" s="26" t="s">
        <v>69</v>
      </c>
      <c r="D6" s="9">
        <v>695925</v>
      </c>
      <c r="E6" s="1" t="s">
        <v>29</v>
      </c>
    </row>
    <row r="7" spans="3:9" x14ac:dyDescent="0.35">
      <c r="C7" s="27" t="s">
        <v>33</v>
      </c>
      <c r="D7" s="9">
        <f>-(+'SP riclassificato dati'!C9-'SP riclassificato dati'!D9)</f>
        <v>-150000</v>
      </c>
    </row>
    <row r="8" spans="3:9" x14ac:dyDescent="0.35">
      <c r="C8" s="27" t="s">
        <v>70</v>
      </c>
      <c r="D8" s="9">
        <f>+'S.P. Riclassificato'!D7-'S.P. Riclassificato'!C7</f>
        <v>49500</v>
      </c>
    </row>
    <row r="9" spans="3:9" x14ac:dyDescent="0.35">
      <c r="C9" s="27" t="s">
        <v>31</v>
      </c>
      <c r="D9" s="9">
        <f>-(+'SP riclassificato dati'!C10-'SP riclassificato dati'!D10)</f>
        <v>-40500</v>
      </c>
      <c r="G9" s="36" t="s">
        <v>46</v>
      </c>
      <c r="H9" s="37" t="s">
        <v>47</v>
      </c>
      <c r="I9" s="37" t="s">
        <v>48</v>
      </c>
    </row>
    <row r="10" spans="3:9" x14ac:dyDescent="0.35">
      <c r="C10" s="27" t="s">
        <v>41</v>
      </c>
      <c r="D10" s="9">
        <f>+'Debiti funzionam - finanziam'!C7-'Debiti funzionam - finanziam'!D7</f>
        <v>159300</v>
      </c>
      <c r="F10" s="33" t="s">
        <v>44</v>
      </c>
      <c r="G10" s="20">
        <f>+'SP riclassificato dati'!C4</f>
        <v>545520</v>
      </c>
      <c r="H10" s="20">
        <f>+'SP riclassificato dati'!D4</f>
        <v>231045</v>
      </c>
      <c r="I10" s="35">
        <f>+G10-H10</f>
        <v>314475</v>
      </c>
    </row>
    <row r="11" spans="3:9" x14ac:dyDescent="0.35">
      <c r="C11" s="28" t="s">
        <v>32</v>
      </c>
      <c r="D11" s="14">
        <f>+'SP riclassificato dati'!G14-'SP riclassificato dati'!H14</f>
        <v>22500</v>
      </c>
      <c r="F11" s="33" t="s">
        <v>45</v>
      </c>
      <c r="G11" s="20">
        <f>+'SP riclassificato dati'!C5</f>
        <v>27750</v>
      </c>
      <c r="H11" s="20">
        <f>+'SP riclassificato dati'!D5</f>
        <v>9000</v>
      </c>
      <c r="I11" s="35">
        <f t="shared" ref="I11:I12" si="0">+G11-H11</f>
        <v>18750</v>
      </c>
    </row>
    <row r="12" spans="3:9" x14ac:dyDescent="0.35">
      <c r="C12" s="29" t="s">
        <v>34</v>
      </c>
      <c r="D12" s="30">
        <f>SUM(D3:D11)</f>
        <v>1279225</v>
      </c>
      <c r="F12" s="34" t="s">
        <v>3</v>
      </c>
      <c r="G12" s="41">
        <f>+G10+G11</f>
        <v>573270</v>
      </c>
      <c r="H12" s="39">
        <f>+H10+H11</f>
        <v>240045</v>
      </c>
      <c r="I12" s="17">
        <f t="shared" si="0"/>
        <v>333225</v>
      </c>
    </row>
    <row r="14" spans="3:9" x14ac:dyDescent="0.35">
      <c r="C14" s="45" t="s">
        <v>37</v>
      </c>
      <c r="D14" s="46"/>
    </row>
    <row r="15" spans="3:9" x14ac:dyDescent="0.35">
      <c r="C15" s="22" t="s">
        <v>35</v>
      </c>
      <c r="D15" s="12">
        <v>-300000</v>
      </c>
      <c r="F15" s="47" t="s">
        <v>49</v>
      </c>
      <c r="G15" s="47"/>
      <c r="H15" s="40">
        <f>+H12</f>
        <v>240045</v>
      </c>
    </row>
    <row r="16" spans="3:9" x14ac:dyDescent="0.35">
      <c r="C16" s="3" t="s">
        <v>36</v>
      </c>
      <c r="D16" s="9">
        <v>620000</v>
      </c>
      <c r="F16" s="48" t="s">
        <v>50</v>
      </c>
      <c r="G16" s="48"/>
      <c r="H16" s="38">
        <f>+D12</f>
        <v>1279225</v>
      </c>
    </row>
    <row r="17" spans="3:8" x14ac:dyDescent="0.35">
      <c r="C17" s="29" t="s">
        <v>37</v>
      </c>
      <c r="D17" s="30">
        <f>+D15+D16</f>
        <v>320000</v>
      </c>
      <c r="F17" s="48" t="s">
        <v>51</v>
      </c>
      <c r="G17" s="48"/>
      <c r="H17" s="38">
        <f>+D17</f>
        <v>320000</v>
      </c>
    </row>
    <row r="18" spans="3:8" x14ac:dyDescent="0.35">
      <c r="F18" s="48" t="s">
        <v>52</v>
      </c>
      <c r="G18" s="48"/>
      <c r="H18" s="38">
        <f>+D25</f>
        <v>-1266000</v>
      </c>
    </row>
    <row r="19" spans="3:8" x14ac:dyDescent="0.35">
      <c r="F19" s="47" t="s">
        <v>53</v>
      </c>
      <c r="G19" s="47"/>
      <c r="H19" s="41">
        <f>+H15+H16+H17+H18</f>
        <v>573270</v>
      </c>
    </row>
    <row r="21" spans="3:8" x14ac:dyDescent="0.35">
      <c r="C21" s="45" t="s">
        <v>42</v>
      </c>
      <c r="D21" s="46"/>
    </row>
    <row r="22" spans="3:8" x14ac:dyDescent="0.35">
      <c r="C22" s="22" t="s">
        <v>19</v>
      </c>
      <c r="D22" s="12">
        <f>+'Debiti funzionam - finanziam'!H4-'Debiti funzionam - finanziam'!I4</f>
        <v>24000</v>
      </c>
    </row>
    <row r="23" spans="3:8" x14ac:dyDescent="0.35">
      <c r="C23" s="3" t="s">
        <v>43</v>
      </c>
      <c r="D23" s="9">
        <f>-'Debiti funzionam - finanziam'!I3+'Debiti funzionam - finanziam'!H3</f>
        <v>-900000</v>
      </c>
    </row>
    <row r="24" spans="3:8" x14ac:dyDescent="0.35">
      <c r="C24" s="3" t="s">
        <v>72</v>
      </c>
      <c r="D24" s="9">
        <v>-390000</v>
      </c>
    </row>
    <row r="25" spans="3:8" x14ac:dyDescent="0.35">
      <c r="C25" s="29" t="s">
        <v>37</v>
      </c>
      <c r="D25" s="30">
        <f>+D22+D23+D24</f>
        <v>-1266000</v>
      </c>
    </row>
    <row r="26" spans="3:8" x14ac:dyDescent="0.35">
      <c r="C26" s="3"/>
      <c r="D26" s="9"/>
    </row>
  </sheetData>
  <mergeCells count="8">
    <mergeCell ref="C2:D2"/>
    <mergeCell ref="C14:D14"/>
    <mergeCell ref="C21:D21"/>
    <mergeCell ref="F15:G15"/>
    <mergeCell ref="F19:G19"/>
    <mergeCell ref="F16:G16"/>
    <mergeCell ref="F17:G17"/>
    <mergeCell ref="F18:G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SP riclassificato dati</vt:lpstr>
      <vt:lpstr>S.P. Riclassificato</vt:lpstr>
      <vt:lpstr>Debiti funzionam - finanziam</vt:lpstr>
      <vt:lpstr>Rendiconto finanziario D.L.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Caruso</dc:creator>
  <cp:lastModifiedBy>Luigi Caruso</cp:lastModifiedBy>
  <dcterms:created xsi:type="dcterms:W3CDTF">2015-06-05T18:19:34Z</dcterms:created>
  <dcterms:modified xsi:type="dcterms:W3CDTF">2023-10-29T11:02:01Z</dcterms:modified>
</cp:coreProperties>
</file>